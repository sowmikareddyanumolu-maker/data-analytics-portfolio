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GUKT\Downloads\"/>
    </mc:Choice>
  </mc:AlternateContent>
  <xr:revisionPtr revIDLastSave="0" documentId="13_ncr:1_{A3A319AA-D477-44A7-A44F-1CC80E4561C1}" xr6:coauthVersionLast="47" xr6:coauthVersionMax="47" xr10:uidLastSave="{00000000-0000-0000-0000-000000000000}"/>
  <bookViews>
    <workbookView xWindow="-120" yWindow="-120" windowWidth="20730" windowHeight="11160" firstSheet="1" activeTab="8" xr2:uid="{00000000-000D-0000-FFFF-FFFF00000000}"/>
  </bookViews>
  <sheets>
    <sheet name="Raw_Data" sheetId="1" r:id="rId1"/>
    <sheet name="product_cost" sheetId="6" r:id="rId2"/>
    <sheet name="pivot1" sheetId="8" r:id="rId3"/>
    <sheet name="pivot2" sheetId="9" r:id="rId4"/>
    <sheet name="pivot3" sheetId="11" r:id="rId5"/>
    <sheet name="pivot4" sheetId="13" r:id="rId6"/>
    <sheet name="pivot5" sheetId="12" r:id="rId7"/>
    <sheet name="pivot6" sheetId="14" r:id="rId8"/>
    <sheet name="pivot7" sheetId="15" r:id="rId9"/>
    <sheet name="Dashboard" sheetId="4" r:id="rId10"/>
  </sheets>
  <definedNames>
    <definedName name="_xlnm._FilterDatabase" localSheetId="0" hidden="1">Raw_Data!$A$1:$J$501</definedName>
    <definedName name="Slicer_Category">#N/A</definedName>
    <definedName name="Slicer_Payment_Method">#N/A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M9" i="1"/>
  <c r="M17" i="1"/>
  <c r="M25" i="1"/>
  <c r="M33" i="1"/>
  <c r="M41" i="1"/>
  <c r="M49" i="1"/>
  <c r="M57" i="1"/>
  <c r="M65" i="1"/>
  <c r="M73" i="1"/>
  <c r="M81" i="1"/>
  <c r="M89" i="1"/>
  <c r="M97" i="1"/>
  <c r="M105" i="1"/>
  <c r="M113" i="1"/>
  <c r="M121" i="1"/>
  <c r="M129" i="1"/>
  <c r="M137" i="1"/>
  <c r="M145" i="1"/>
  <c r="M153" i="1"/>
  <c r="M161" i="1"/>
  <c r="M169" i="1"/>
  <c r="M177" i="1"/>
  <c r="M185" i="1"/>
  <c r="M193" i="1"/>
  <c r="M201" i="1"/>
  <c r="M209" i="1"/>
  <c r="M217" i="1"/>
  <c r="M225" i="1"/>
  <c r="M233" i="1"/>
  <c r="M241" i="1"/>
  <c r="M249" i="1"/>
  <c r="M257" i="1"/>
  <c r="M265" i="1"/>
  <c r="M273" i="1"/>
  <c r="M281" i="1"/>
  <c r="M289" i="1"/>
  <c r="M297" i="1"/>
  <c r="M305" i="1"/>
  <c r="M313" i="1"/>
  <c r="M321" i="1"/>
  <c r="M329" i="1"/>
  <c r="M337" i="1"/>
  <c r="M367" i="1"/>
  <c r="M383" i="1"/>
  <c r="M399" i="1"/>
  <c r="M415" i="1"/>
  <c r="M431" i="1"/>
  <c r="M447" i="1"/>
  <c r="M463" i="1"/>
  <c r="M479" i="1"/>
  <c r="M49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2" i="1"/>
  <c r="M2" i="1" s="1"/>
  <c r="K3" i="1"/>
  <c r="M3" i="1" s="1"/>
  <c r="K4" i="1"/>
  <c r="M4" i="1" s="1"/>
  <c r="K5" i="1"/>
  <c r="M5" i="1" s="1"/>
  <c r="K6" i="1"/>
  <c r="M6" i="1" s="1"/>
  <c r="K7" i="1"/>
  <c r="M7" i="1" s="1"/>
  <c r="K8" i="1"/>
  <c r="M8" i="1" s="1"/>
  <c r="K9" i="1"/>
  <c r="K10" i="1"/>
  <c r="M10" i="1" s="1"/>
  <c r="K11" i="1"/>
  <c r="M11" i="1" s="1"/>
  <c r="K12" i="1"/>
  <c r="M12" i="1" s="1"/>
  <c r="K13" i="1"/>
  <c r="M13" i="1" s="1"/>
  <c r="K14" i="1"/>
  <c r="M14" i="1" s="1"/>
  <c r="K15" i="1"/>
  <c r="M15" i="1" s="1"/>
  <c r="K16" i="1"/>
  <c r="M16" i="1" s="1"/>
  <c r="K17" i="1"/>
  <c r="K18" i="1"/>
  <c r="M18" i="1" s="1"/>
  <c r="K19" i="1"/>
  <c r="M19" i="1" s="1"/>
  <c r="K20" i="1"/>
  <c r="M20" i="1" s="1"/>
  <c r="K21" i="1"/>
  <c r="M21" i="1" s="1"/>
  <c r="N21" i="1" s="1"/>
  <c r="K22" i="1"/>
  <c r="M22" i="1" s="1"/>
  <c r="K23" i="1"/>
  <c r="M23" i="1" s="1"/>
  <c r="K24" i="1"/>
  <c r="M24" i="1" s="1"/>
  <c r="K25" i="1"/>
  <c r="K26" i="1"/>
  <c r="M26" i="1" s="1"/>
  <c r="K27" i="1"/>
  <c r="M27" i="1" s="1"/>
  <c r="K28" i="1"/>
  <c r="M28" i="1" s="1"/>
  <c r="K29" i="1"/>
  <c r="M29" i="1" s="1"/>
  <c r="K30" i="1"/>
  <c r="M30" i="1" s="1"/>
  <c r="K31" i="1"/>
  <c r="M31" i="1" s="1"/>
  <c r="K32" i="1"/>
  <c r="M32" i="1" s="1"/>
  <c r="K33" i="1"/>
  <c r="K34" i="1"/>
  <c r="M34" i="1" s="1"/>
  <c r="K35" i="1"/>
  <c r="M35" i="1" s="1"/>
  <c r="K36" i="1"/>
  <c r="M36" i="1" s="1"/>
  <c r="K37" i="1"/>
  <c r="M37" i="1" s="1"/>
  <c r="K38" i="1"/>
  <c r="M38" i="1" s="1"/>
  <c r="K39" i="1"/>
  <c r="M39" i="1" s="1"/>
  <c r="K40" i="1"/>
  <c r="M40" i="1" s="1"/>
  <c r="K41" i="1"/>
  <c r="K42" i="1"/>
  <c r="M42" i="1" s="1"/>
  <c r="K43" i="1"/>
  <c r="M43" i="1" s="1"/>
  <c r="K44" i="1"/>
  <c r="M44" i="1" s="1"/>
  <c r="K45" i="1"/>
  <c r="M45" i="1" s="1"/>
  <c r="K46" i="1"/>
  <c r="M46" i="1" s="1"/>
  <c r="K47" i="1"/>
  <c r="M47" i="1" s="1"/>
  <c r="K48" i="1"/>
  <c r="M48" i="1" s="1"/>
  <c r="K49" i="1"/>
  <c r="K50" i="1"/>
  <c r="M50" i="1" s="1"/>
  <c r="K51" i="1"/>
  <c r="M51" i="1" s="1"/>
  <c r="K52" i="1"/>
  <c r="M52" i="1" s="1"/>
  <c r="K53" i="1"/>
  <c r="M53" i="1" s="1"/>
  <c r="K54" i="1"/>
  <c r="M54" i="1" s="1"/>
  <c r="K55" i="1"/>
  <c r="M55" i="1" s="1"/>
  <c r="K56" i="1"/>
  <c r="M56" i="1" s="1"/>
  <c r="K57" i="1"/>
  <c r="K58" i="1"/>
  <c r="M58" i="1" s="1"/>
  <c r="K59" i="1"/>
  <c r="M59" i="1" s="1"/>
  <c r="K60" i="1"/>
  <c r="M60" i="1" s="1"/>
  <c r="K61" i="1"/>
  <c r="M61" i="1" s="1"/>
  <c r="K62" i="1"/>
  <c r="M62" i="1" s="1"/>
  <c r="K63" i="1"/>
  <c r="M63" i="1" s="1"/>
  <c r="K64" i="1"/>
  <c r="M64" i="1" s="1"/>
  <c r="K65" i="1"/>
  <c r="K66" i="1"/>
  <c r="M66" i="1" s="1"/>
  <c r="K67" i="1"/>
  <c r="M67" i="1" s="1"/>
  <c r="K68" i="1"/>
  <c r="M68" i="1" s="1"/>
  <c r="K69" i="1"/>
  <c r="M69" i="1" s="1"/>
  <c r="K70" i="1"/>
  <c r="M70" i="1" s="1"/>
  <c r="K71" i="1"/>
  <c r="M71" i="1" s="1"/>
  <c r="K72" i="1"/>
  <c r="M72" i="1" s="1"/>
  <c r="K73" i="1"/>
  <c r="K74" i="1"/>
  <c r="M74" i="1" s="1"/>
  <c r="K75" i="1"/>
  <c r="M75" i="1" s="1"/>
  <c r="K76" i="1"/>
  <c r="M76" i="1" s="1"/>
  <c r="K77" i="1"/>
  <c r="M77" i="1" s="1"/>
  <c r="K78" i="1"/>
  <c r="M78" i="1" s="1"/>
  <c r="K79" i="1"/>
  <c r="M79" i="1" s="1"/>
  <c r="K80" i="1"/>
  <c r="M80" i="1" s="1"/>
  <c r="K81" i="1"/>
  <c r="K82" i="1"/>
  <c r="M82" i="1" s="1"/>
  <c r="K83" i="1"/>
  <c r="M83" i="1" s="1"/>
  <c r="K84" i="1"/>
  <c r="M84" i="1" s="1"/>
  <c r="K85" i="1"/>
  <c r="M85" i="1" s="1"/>
  <c r="K86" i="1"/>
  <c r="M86" i="1" s="1"/>
  <c r="K87" i="1"/>
  <c r="M87" i="1" s="1"/>
  <c r="K88" i="1"/>
  <c r="M88" i="1" s="1"/>
  <c r="K89" i="1"/>
  <c r="K90" i="1"/>
  <c r="M90" i="1" s="1"/>
  <c r="K91" i="1"/>
  <c r="M91" i="1" s="1"/>
  <c r="K92" i="1"/>
  <c r="M92" i="1" s="1"/>
  <c r="K93" i="1"/>
  <c r="M93" i="1" s="1"/>
  <c r="K94" i="1"/>
  <c r="M94" i="1" s="1"/>
  <c r="K95" i="1"/>
  <c r="M95" i="1" s="1"/>
  <c r="K96" i="1"/>
  <c r="M96" i="1" s="1"/>
  <c r="K97" i="1"/>
  <c r="K98" i="1"/>
  <c r="M98" i="1" s="1"/>
  <c r="K99" i="1"/>
  <c r="M99" i="1" s="1"/>
  <c r="K100" i="1"/>
  <c r="M100" i="1" s="1"/>
  <c r="K101" i="1"/>
  <c r="M101" i="1" s="1"/>
  <c r="K102" i="1"/>
  <c r="M102" i="1" s="1"/>
  <c r="K103" i="1"/>
  <c r="M103" i="1" s="1"/>
  <c r="K104" i="1"/>
  <c r="M104" i="1" s="1"/>
  <c r="K105" i="1"/>
  <c r="K106" i="1"/>
  <c r="M106" i="1" s="1"/>
  <c r="K107" i="1"/>
  <c r="M107" i="1" s="1"/>
  <c r="K108" i="1"/>
  <c r="M108" i="1" s="1"/>
  <c r="K109" i="1"/>
  <c r="M109" i="1" s="1"/>
  <c r="K110" i="1"/>
  <c r="M110" i="1" s="1"/>
  <c r="K111" i="1"/>
  <c r="M111" i="1" s="1"/>
  <c r="K112" i="1"/>
  <c r="M112" i="1" s="1"/>
  <c r="K113" i="1"/>
  <c r="K114" i="1"/>
  <c r="M114" i="1" s="1"/>
  <c r="K115" i="1"/>
  <c r="M115" i="1" s="1"/>
  <c r="K116" i="1"/>
  <c r="M116" i="1" s="1"/>
  <c r="K117" i="1"/>
  <c r="M117" i="1" s="1"/>
  <c r="K118" i="1"/>
  <c r="M118" i="1" s="1"/>
  <c r="K119" i="1"/>
  <c r="M119" i="1" s="1"/>
  <c r="K120" i="1"/>
  <c r="M120" i="1" s="1"/>
  <c r="K121" i="1"/>
  <c r="K122" i="1"/>
  <c r="M122" i="1" s="1"/>
  <c r="K123" i="1"/>
  <c r="M123" i="1" s="1"/>
  <c r="K124" i="1"/>
  <c r="M124" i="1" s="1"/>
  <c r="K125" i="1"/>
  <c r="M125" i="1" s="1"/>
  <c r="K126" i="1"/>
  <c r="M126" i="1" s="1"/>
  <c r="K127" i="1"/>
  <c r="M127" i="1" s="1"/>
  <c r="K128" i="1"/>
  <c r="M128" i="1" s="1"/>
  <c r="K129" i="1"/>
  <c r="K130" i="1"/>
  <c r="M130" i="1" s="1"/>
  <c r="K131" i="1"/>
  <c r="M131" i="1" s="1"/>
  <c r="K132" i="1"/>
  <c r="M132" i="1" s="1"/>
  <c r="K133" i="1"/>
  <c r="M133" i="1" s="1"/>
  <c r="K134" i="1"/>
  <c r="M134" i="1" s="1"/>
  <c r="K135" i="1"/>
  <c r="M135" i="1" s="1"/>
  <c r="K136" i="1"/>
  <c r="M136" i="1" s="1"/>
  <c r="K137" i="1"/>
  <c r="K138" i="1"/>
  <c r="M138" i="1" s="1"/>
  <c r="K139" i="1"/>
  <c r="M139" i="1" s="1"/>
  <c r="K140" i="1"/>
  <c r="M140" i="1" s="1"/>
  <c r="K141" i="1"/>
  <c r="M141" i="1" s="1"/>
  <c r="K142" i="1"/>
  <c r="M142" i="1" s="1"/>
  <c r="K143" i="1"/>
  <c r="M143" i="1" s="1"/>
  <c r="K144" i="1"/>
  <c r="M144" i="1" s="1"/>
  <c r="K145" i="1"/>
  <c r="K146" i="1"/>
  <c r="M146" i="1" s="1"/>
  <c r="K147" i="1"/>
  <c r="M147" i="1" s="1"/>
  <c r="K148" i="1"/>
  <c r="M148" i="1" s="1"/>
  <c r="K149" i="1"/>
  <c r="M149" i="1" s="1"/>
  <c r="K150" i="1"/>
  <c r="M150" i="1" s="1"/>
  <c r="K151" i="1"/>
  <c r="M151" i="1" s="1"/>
  <c r="K152" i="1"/>
  <c r="M152" i="1" s="1"/>
  <c r="K153" i="1"/>
  <c r="K154" i="1"/>
  <c r="M154" i="1" s="1"/>
  <c r="K155" i="1"/>
  <c r="M155" i="1" s="1"/>
  <c r="K156" i="1"/>
  <c r="M156" i="1" s="1"/>
  <c r="K157" i="1"/>
  <c r="M157" i="1" s="1"/>
  <c r="K158" i="1"/>
  <c r="M158" i="1" s="1"/>
  <c r="K159" i="1"/>
  <c r="M159" i="1" s="1"/>
  <c r="K160" i="1"/>
  <c r="M160" i="1" s="1"/>
  <c r="K161" i="1"/>
  <c r="K162" i="1"/>
  <c r="M162" i="1" s="1"/>
  <c r="K163" i="1"/>
  <c r="M163" i="1" s="1"/>
  <c r="K164" i="1"/>
  <c r="M164" i="1" s="1"/>
  <c r="K165" i="1"/>
  <c r="M165" i="1" s="1"/>
  <c r="K166" i="1"/>
  <c r="M166" i="1" s="1"/>
  <c r="K167" i="1"/>
  <c r="M167" i="1" s="1"/>
  <c r="K168" i="1"/>
  <c r="M168" i="1" s="1"/>
  <c r="K169" i="1"/>
  <c r="K170" i="1"/>
  <c r="M170" i="1" s="1"/>
  <c r="K171" i="1"/>
  <c r="M171" i="1" s="1"/>
  <c r="K172" i="1"/>
  <c r="M172" i="1" s="1"/>
  <c r="K173" i="1"/>
  <c r="M173" i="1" s="1"/>
  <c r="K174" i="1"/>
  <c r="M174" i="1" s="1"/>
  <c r="K175" i="1"/>
  <c r="M175" i="1" s="1"/>
  <c r="K176" i="1"/>
  <c r="M176" i="1" s="1"/>
  <c r="K177" i="1"/>
  <c r="K178" i="1"/>
  <c r="M178" i="1" s="1"/>
  <c r="K179" i="1"/>
  <c r="M179" i="1" s="1"/>
  <c r="K180" i="1"/>
  <c r="M180" i="1" s="1"/>
  <c r="K181" i="1"/>
  <c r="M181" i="1" s="1"/>
  <c r="K182" i="1"/>
  <c r="M182" i="1" s="1"/>
  <c r="K183" i="1"/>
  <c r="M183" i="1" s="1"/>
  <c r="K184" i="1"/>
  <c r="M184" i="1" s="1"/>
  <c r="K185" i="1"/>
  <c r="K186" i="1"/>
  <c r="M186" i="1" s="1"/>
  <c r="K187" i="1"/>
  <c r="M187" i="1" s="1"/>
  <c r="K188" i="1"/>
  <c r="M188" i="1" s="1"/>
  <c r="K189" i="1"/>
  <c r="M189" i="1" s="1"/>
  <c r="K190" i="1"/>
  <c r="M190" i="1" s="1"/>
  <c r="K191" i="1"/>
  <c r="M191" i="1" s="1"/>
  <c r="K192" i="1"/>
  <c r="M192" i="1" s="1"/>
  <c r="K193" i="1"/>
  <c r="K194" i="1"/>
  <c r="M194" i="1" s="1"/>
  <c r="K195" i="1"/>
  <c r="M195" i="1" s="1"/>
  <c r="K196" i="1"/>
  <c r="M196" i="1" s="1"/>
  <c r="K197" i="1"/>
  <c r="M197" i="1" s="1"/>
  <c r="K198" i="1"/>
  <c r="M198" i="1" s="1"/>
  <c r="K199" i="1"/>
  <c r="M199" i="1" s="1"/>
  <c r="K200" i="1"/>
  <c r="M200" i="1" s="1"/>
  <c r="K201" i="1"/>
  <c r="K202" i="1"/>
  <c r="M202" i="1" s="1"/>
  <c r="K203" i="1"/>
  <c r="M203" i="1" s="1"/>
  <c r="K204" i="1"/>
  <c r="M204" i="1" s="1"/>
  <c r="K205" i="1"/>
  <c r="M205" i="1" s="1"/>
  <c r="K206" i="1"/>
  <c r="M206" i="1" s="1"/>
  <c r="K207" i="1"/>
  <c r="M207" i="1" s="1"/>
  <c r="K208" i="1"/>
  <c r="M208" i="1" s="1"/>
  <c r="K209" i="1"/>
  <c r="K210" i="1"/>
  <c r="M210" i="1" s="1"/>
  <c r="K211" i="1"/>
  <c r="M211" i="1" s="1"/>
  <c r="K212" i="1"/>
  <c r="M212" i="1" s="1"/>
  <c r="K213" i="1"/>
  <c r="M213" i="1" s="1"/>
  <c r="K214" i="1"/>
  <c r="M214" i="1" s="1"/>
  <c r="K215" i="1"/>
  <c r="M215" i="1" s="1"/>
  <c r="K216" i="1"/>
  <c r="M216" i="1" s="1"/>
  <c r="K217" i="1"/>
  <c r="K218" i="1"/>
  <c r="M218" i="1" s="1"/>
  <c r="K219" i="1"/>
  <c r="M219" i="1" s="1"/>
  <c r="K220" i="1"/>
  <c r="M220" i="1" s="1"/>
  <c r="K221" i="1"/>
  <c r="M221" i="1" s="1"/>
  <c r="K222" i="1"/>
  <c r="M222" i="1" s="1"/>
  <c r="K223" i="1"/>
  <c r="M223" i="1" s="1"/>
  <c r="K224" i="1"/>
  <c r="M224" i="1" s="1"/>
  <c r="K225" i="1"/>
  <c r="K226" i="1"/>
  <c r="M226" i="1" s="1"/>
  <c r="K227" i="1"/>
  <c r="M227" i="1" s="1"/>
  <c r="K228" i="1"/>
  <c r="M228" i="1" s="1"/>
  <c r="K229" i="1"/>
  <c r="M229" i="1" s="1"/>
  <c r="K230" i="1"/>
  <c r="M230" i="1" s="1"/>
  <c r="K231" i="1"/>
  <c r="M231" i="1" s="1"/>
  <c r="K232" i="1"/>
  <c r="M232" i="1" s="1"/>
  <c r="K233" i="1"/>
  <c r="K234" i="1"/>
  <c r="M234" i="1" s="1"/>
  <c r="K235" i="1"/>
  <c r="M235" i="1" s="1"/>
  <c r="K236" i="1"/>
  <c r="M236" i="1" s="1"/>
  <c r="K237" i="1"/>
  <c r="M237" i="1" s="1"/>
  <c r="K238" i="1"/>
  <c r="M238" i="1" s="1"/>
  <c r="K239" i="1"/>
  <c r="M239" i="1" s="1"/>
  <c r="K240" i="1"/>
  <c r="M240" i="1" s="1"/>
  <c r="K241" i="1"/>
  <c r="K242" i="1"/>
  <c r="M242" i="1" s="1"/>
  <c r="K243" i="1"/>
  <c r="M243" i="1" s="1"/>
  <c r="K244" i="1"/>
  <c r="M244" i="1" s="1"/>
  <c r="K245" i="1"/>
  <c r="M245" i="1" s="1"/>
  <c r="K246" i="1"/>
  <c r="M246" i="1" s="1"/>
  <c r="K247" i="1"/>
  <c r="M247" i="1" s="1"/>
  <c r="K248" i="1"/>
  <c r="M248" i="1" s="1"/>
  <c r="K249" i="1"/>
  <c r="K250" i="1"/>
  <c r="M250" i="1" s="1"/>
  <c r="K251" i="1"/>
  <c r="M251" i="1" s="1"/>
  <c r="K252" i="1"/>
  <c r="M252" i="1" s="1"/>
  <c r="K253" i="1"/>
  <c r="M253" i="1" s="1"/>
  <c r="K254" i="1"/>
  <c r="M254" i="1" s="1"/>
  <c r="K255" i="1"/>
  <c r="M255" i="1" s="1"/>
  <c r="K256" i="1"/>
  <c r="M256" i="1" s="1"/>
  <c r="K257" i="1"/>
  <c r="K258" i="1"/>
  <c r="M258" i="1" s="1"/>
  <c r="K259" i="1"/>
  <c r="M259" i="1" s="1"/>
  <c r="K260" i="1"/>
  <c r="M260" i="1" s="1"/>
  <c r="K261" i="1"/>
  <c r="M261" i="1" s="1"/>
  <c r="K262" i="1"/>
  <c r="M262" i="1" s="1"/>
  <c r="K263" i="1"/>
  <c r="M263" i="1" s="1"/>
  <c r="K264" i="1"/>
  <c r="M264" i="1" s="1"/>
  <c r="K265" i="1"/>
  <c r="K266" i="1"/>
  <c r="M266" i="1" s="1"/>
  <c r="K267" i="1"/>
  <c r="M267" i="1" s="1"/>
  <c r="K268" i="1"/>
  <c r="M268" i="1" s="1"/>
  <c r="K269" i="1"/>
  <c r="M269" i="1" s="1"/>
  <c r="K270" i="1"/>
  <c r="M270" i="1" s="1"/>
  <c r="K271" i="1"/>
  <c r="M271" i="1" s="1"/>
  <c r="K272" i="1"/>
  <c r="M272" i="1" s="1"/>
  <c r="K273" i="1"/>
  <c r="K274" i="1"/>
  <c r="M274" i="1" s="1"/>
  <c r="K275" i="1"/>
  <c r="M275" i="1" s="1"/>
  <c r="K276" i="1"/>
  <c r="M276" i="1" s="1"/>
  <c r="K277" i="1"/>
  <c r="M277" i="1" s="1"/>
  <c r="K278" i="1"/>
  <c r="M278" i="1" s="1"/>
  <c r="K279" i="1"/>
  <c r="M279" i="1" s="1"/>
  <c r="K280" i="1"/>
  <c r="M280" i="1" s="1"/>
  <c r="K281" i="1"/>
  <c r="K282" i="1"/>
  <c r="M282" i="1" s="1"/>
  <c r="K283" i="1"/>
  <c r="M283" i="1" s="1"/>
  <c r="K284" i="1"/>
  <c r="M284" i="1" s="1"/>
  <c r="K285" i="1"/>
  <c r="M285" i="1" s="1"/>
  <c r="K286" i="1"/>
  <c r="M286" i="1" s="1"/>
  <c r="K287" i="1"/>
  <c r="M287" i="1" s="1"/>
  <c r="K288" i="1"/>
  <c r="M288" i="1" s="1"/>
  <c r="K289" i="1"/>
  <c r="K290" i="1"/>
  <c r="M290" i="1" s="1"/>
  <c r="K291" i="1"/>
  <c r="M291" i="1" s="1"/>
  <c r="K292" i="1"/>
  <c r="M292" i="1" s="1"/>
  <c r="K293" i="1"/>
  <c r="M293" i="1" s="1"/>
  <c r="K294" i="1"/>
  <c r="M294" i="1" s="1"/>
  <c r="K295" i="1"/>
  <c r="M295" i="1" s="1"/>
  <c r="K296" i="1"/>
  <c r="M296" i="1" s="1"/>
  <c r="K297" i="1"/>
  <c r="K298" i="1"/>
  <c r="M298" i="1" s="1"/>
  <c r="K299" i="1"/>
  <c r="M299" i="1" s="1"/>
  <c r="K300" i="1"/>
  <c r="M300" i="1" s="1"/>
  <c r="K301" i="1"/>
  <c r="M301" i="1" s="1"/>
  <c r="K302" i="1"/>
  <c r="M302" i="1" s="1"/>
  <c r="K303" i="1"/>
  <c r="M303" i="1" s="1"/>
  <c r="K304" i="1"/>
  <c r="M304" i="1" s="1"/>
  <c r="K305" i="1"/>
  <c r="K306" i="1"/>
  <c r="M306" i="1" s="1"/>
  <c r="K307" i="1"/>
  <c r="M307" i="1" s="1"/>
  <c r="K308" i="1"/>
  <c r="M308" i="1" s="1"/>
  <c r="K309" i="1"/>
  <c r="M309" i="1" s="1"/>
  <c r="K310" i="1"/>
  <c r="M310" i="1" s="1"/>
  <c r="K311" i="1"/>
  <c r="M311" i="1" s="1"/>
  <c r="K312" i="1"/>
  <c r="M312" i="1" s="1"/>
  <c r="K313" i="1"/>
  <c r="K314" i="1"/>
  <c r="M314" i="1" s="1"/>
  <c r="K315" i="1"/>
  <c r="M315" i="1" s="1"/>
  <c r="K316" i="1"/>
  <c r="M316" i="1" s="1"/>
  <c r="K317" i="1"/>
  <c r="M317" i="1" s="1"/>
  <c r="K318" i="1"/>
  <c r="M318" i="1" s="1"/>
  <c r="K319" i="1"/>
  <c r="M319" i="1" s="1"/>
  <c r="K320" i="1"/>
  <c r="M320" i="1" s="1"/>
  <c r="K321" i="1"/>
  <c r="K322" i="1"/>
  <c r="M322" i="1" s="1"/>
  <c r="K323" i="1"/>
  <c r="M323" i="1" s="1"/>
  <c r="K324" i="1"/>
  <c r="M324" i="1" s="1"/>
  <c r="K325" i="1"/>
  <c r="M325" i="1" s="1"/>
  <c r="K326" i="1"/>
  <c r="M326" i="1" s="1"/>
  <c r="K327" i="1"/>
  <c r="M327" i="1" s="1"/>
  <c r="K328" i="1"/>
  <c r="M328" i="1" s="1"/>
  <c r="K329" i="1"/>
  <c r="K330" i="1"/>
  <c r="M330" i="1" s="1"/>
  <c r="K331" i="1"/>
  <c r="M331" i="1" s="1"/>
  <c r="K332" i="1"/>
  <c r="M332" i="1" s="1"/>
  <c r="K333" i="1"/>
  <c r="M333" i="1" s="1"/>
  <c r="K334" i="1"/>
  <c r="M334" i="1" s="1"/>
  <c r="K335" i="1"/>
  <c r="M335" i="1" s="1"/>
  <c r="K336" i="1"/>
  <c r="M336" i="1" s="1"/>
  <c r="K337" i="1"/>
  <c r="K338" i="1"/>
  <c r="M338" i="1" s="1"/>
  <c r="K339" i="1"/>
  <c r="M339" i="1" s="1"/>
  <c r="K340" i="1"/>
  <c r="M340" i="1" s="1"/>
  <c r="K341" i="1"/>
  <c r="M341" i="1" s="1"/>
  <c r="K342" i="1"/>
  <c r="M342" i="1" s="1"/>
  <c r="K343" i="1"/>
  <c r="M343" i="1" s="1"/>
  <c r="K344" i="1"/>
  <c r="M344" i="1" s="1"/>
  <c r="K345" i="1"/>
  <c r="M345" i="1" s="1"/>
  <c r="K346" i="1"/>
  <c r="M346" i="1" s="1"/>
  <c r="K347" i="1"/>
  <c r="M347" i="1" s="1"/>
  <c r="K348" i="1"/>
  <c r="M348" i="1" s="1"/>
  <c r="K349" i="1"/>
  <c r="M349" i="1" s="1"/>
  <c r="K350" i="1"/>
  <c r="M350" i="1" s="1"/>
  <c r="K351" i="1"/>
  <c r="M351" i="1" s="1"/>
  <c r="K352" i="1"/>
  <c r="M352" i="1" s="1"/>
  <c r="K353" i="1"/>
  <c r="M353" i="1" s="1"/>
  <c r="K354" i="1"/>
  <c r="M354" i="1" s="1"/>
  <c r="K355" i="1"/>
  <c r="M355" i="1" s="1"/>
  <c r="K356" i="1"/>
  <c r="M356" i="1" s="1"/>
  <c r="K357" i="1"/>
  <c r="M357" i="1" s="1"/>
  <c r="K358" i="1"/>
  <c r="M358" i="1" s="1"/>
  <c r="K359" i="1"/>
  <c r="M359" i="1" s="1"/>
  <c r="K360" i="1"/>
  <c r="M360" i="1" s="1"/>
  <c r="K361" i="1"/>
  <c r="M361" i="1" s="1"/>
  <c r="K362" i="1"/>
  <c r="M362" i="1" s="1"/>
  <c r="K363" i="1"/>
  <c r="M363" i="1" s="1"/>
  <c r="K364" i="1"/>
  <c r="M364" i="1" s="1"/>
  <c r="K365" i="1"/>
  <c r="M365" i="1" s="1"/>
  <c r="K366" i="1"/>
  <c r="M366" i="1" s="1"/>
  <c r="K367" i="1"/>
  <c r="K368" i="1"/>
  <c r="M368" i="1" s="1"/>
  <c r="K369" i="1"/>
  <c r="M369" i="1" s="1"/>
  <c r="K370" i="1"/>
  <c r="M370" i="1" s="1"/>
  <c r="K371" i="1"/>
  <c r="M371" i="1" s="1"/>
  <c r="K372" i="1"/>
  <c r="M372" i="1" s="1"/>
  <c r="K373" i="1"/>
  <c r="M373" i="1" s="1"/>
  <c r="K374" i="1"/>
  <c r="M374" i="1" s="1"/>
  <c r="K375" i="1"/>
  <c r="M375" i="1" s="1"/>
  <c r="K376" i="1"/>
  <c r="M376" i="1" s="1"/>
  <c r="K377" i="1"/>
  <c r="M377" i="1" s="1"/>
  <c r="K378" i="1"/>
  <c r="M378" i="1" s="1"/>
  <c r="K379" i="1"/>
  <c r="M379" i="1" s="1"/>
  <c r="K380" i="1"/>
  <c r="M380" i="1" s="1"/>
  <c r="K381" i="1"/>
  <c r="M381" i="1" s="1"/>
  <c r="K382" i="1"/>
  <c r="M382" i="1" s="1"/>
  <c r="K383" i="1"/>
  <c r="K384" i="1"/>
  <c r="M384" i="1" s="1"/>
  <c r="K385" i="1"/>
  <c r="M385" i="1" s="1"/>
  <c r="K386" i="1"/>
  <c r="M386" i="1" s="1"/>
  <c r="K387" i="1"/>
  <c r="M387" i="1" s="1"/>
  <c r="K388" i="1"/>
  <c r="M388" i="1" s="1"/>
  <c r="K389" i="1"/>
  <c r="M389" i="1" s="1"/>
  <c r="K390" i="1"/>
  <c r="M390" i="1" s="1"/>
  <c r="K391" i="1"/>
  <c r="M391" i="1" s="1"/>
  <c r="K392" i="1"/>
  <c r="M392" i="1" s="1"/>
  <c r="K393" i="1"/>
  <c r="M393" i="1" s="1"/>
  <c r="K394" i="1"/>
  <c r="M394" i="1" s="1"/>
  <c r="K395" i="1"/>
  <c r="M395" i="1" s="1"/>
  <c r="K396" i="1"/>
  <c r="M396" i="1" s="1"/>
  <c r="K397" i="1"/>
  <c r="M397" i="1" s="1"/>
  <c r="K398" i="1"/>
  <c r="M398" i="1" s="1"/>
  <c r="K399" i="1"/>
  <c r="K400" i="1"/>
  <c r="M400" i="1" s="1"/>
  <c r="K401" i="1"/>
  <c r="M401" i="1" s="1"/>
  <c r="K402" i="1"/>
  <c r="M402" i="1" s="1"/>
  <c r="K403" i="1"/>
  <c r="M403" i="1" s="1"/>
  <c r="K404" i="1"/>
  <c r="M404" i="1" s="1"/>
  <c r="K405" i="1"/>
  <c r="M405" i="1" s="1"/>
  <c r="K406" i="1"/>
  <c r="M406" i="1" s="1"/>
  <c r="K407" i="1"/>
  <c r="M407" i="1" s="1"/>
  <c r="K408" i="1"/>
  <c r="M408" i="1" s="1"/>
  <c r="K409" i="1"/>
  <c r="M409" i="1" s="1"/>
  <c r="K410" i="1"/>
  <c r="M410" i="1" s="1"/>
  <c r="K411" i="1"/>
  <c r="M411" i="1" s="1"/>
  <c r="K412" i="1"/>
  <c r="M412" i="1" s="1"/>
  <c r="K413" i="1"/>
  <c r="M413" i="1" s="1"/>
  <c r="K414" i="1"/>
  <c r="M414" i="1" s="1"/>
  <c r="K415" i="1"/>
  <c r="K416" i="1"/>
  <c r="M416" i="1" s="1"/>
  <c r="K417" i="1"/>
  <c r="M417" i="1" s="1"/>
  <c r="K418" i="1"/>
  <c r="M418" i="1" s="1"/>
  <c r="K419" i="1"/>
  <c r="M419" i="1" s="1"/>
  <c r="K420" i="1"/>
  <c r="M420" i="1" s="1"/>
  <c r="K421" i="1"/>
  <c r="M421" i="1" s="1"/>
  <c r="K422" i="1"/>
  <c r="M422" i="1" s="1"/>
  <c r="K423" i="1"/>
  <c r="M423" i="1" s="1"/>
  <c r="K424" i="1"/>
  <c r="M424" i="1" s="1"/>
  <c r="K425" i="1"/>
  <c r="M425" i="1" s="1"/>
  <c r="K426" i="1"/>
  <c r="M426" i="1" s="1"/>
  <c r="K427" i="1"/>
  <c r="M427" i="1" s="1"/>
  <c r="K428" i="1"/>
  <c r="M428" i="1" s="1"/>
  <c r="K429" i="1"/>
  <c r="M429" i="1" s="1"/>
  <c r="K430" i="1"/>
  <c r="M430" i="1" s="1"/>
  <c r="K431" i="1"/>
  <c r="K432" i="1"/>
  <c r="M432" i="1" s="1"/>
  <c r="K433" i="1"/>
  <c r="M433" i="1" s="1"/>
  <c r="K434" i="1"/>
  <c r="M434" i="1" s="1"/>
  <c r="K435" i="1"/>
  <c r="M435" i="1" s="1"/>
  <c r="K436" i="1"/>
  <c r="M436" i="1" s="1"/>
  <c r="K437" i="1"/>
  <c r="M437" i="1" s="1"/>
  <c r="K438" i="1"/>
  <c r="M438" i="1" s="1"/>
  <c r="K439" i="1"/>
  <c r="M439" i="1" s="1"/>
  <c r="K440" i="1"/>
  <c r="M440" i="1" s="1"/>
  <c r="K441" i="1"/>
  <c r="M441" i="1" s="1"/>
  <c r="K442" i="1"/>
  <c r="M442" i="1" s="1"/>
  <c r="K443" i="1"/>
  <c r="M443" i="1" s="1"/>
  <c r="K444" i="1"/>
  <c r="M444" i="1" s="1"/>
  <c r="K445" i="1"/>
  <c r="M445" i="1" s="1"/>
  <c r="K446" i="1"/>
  <c r="M446" i="1" s="1"/>
  <c r="K447" i="1"/>
  <c r="K448" i="1"/>
  <c r="M448" i="1" s="1"/>
  <c r="K449" i="1"/>
  <c r="M449" i="1" s="1"/>
  <c r="K450" i="1"/>
  <c r="M450" i="1" s="1"/>
  <c r="K451" i="1"/>
  <c r="M451" i="1" s="1"/>
  <c r="K452" i="1"/>
  <c r="M452" i="1" s="1"/>
  <c r="K453" i="1"/>
  <c r="M453" i="1" s="1"/>
  <c r="K454" i="1"/>
  <c r="M454" i="1" s="1"/>
  <c r="K455" i="1"/>
  <c r="M455" i="1" s="1"/>
  <c r="K456" i="1"/>
  <c r="M456" i="1" s="1"/>
  <c r="K457" i="1"/>
  <c r="M457" i="1" s="1"/>
  <c r="K458" i="1"/>
  <c r="M458" i="1" s="1"/>
  <c r="K459" i="1"/>
  <c r="M459" i="1" s="1"/>
  <c r="K460" i="1"/>
  <c r="M460" i="1" s="1"/>
  <c r="K461" i="1"/>
  <c r="M461" i="1" s="1"/>
  <c r="K462" i="1"/>
  <c r="M462" i="1" s="1"/>
  <c r="K463" i="1"/>
  <c r="K464" i="1"/>
  <c r="M464" i="1" s="1"/>
  <c r="K465" i="1"/>
  <c r="M465" i="1" s="1"/>
  <c r="K466" i="1"/>
  <c r="M466" i="1" s="1"/>
  <c r="K467" i="1"/>
  <c r="M467" i="1" s="1"/>
  <c r="K468" i="1"/>
  <c r="M468" i="1" s="1"/>
  <c r="K469" i="1"/>
  <c r="M469" i="1" s="1"/>
  <c r="K470" i="1"/>
  <c r="M470" i="1" s="1"/>
  <c r="K471" i="1"/>
  <c r="M471" i="1" s="1"/>
  <c r="K472" i="1"/>
  <c r="M472" i="1" s="1"/>
  <c r="K473" i="1"/>
  <c r="M473" i="1" s="1"/>
  <c r="K474" i="1"/>
  <c r="M474" i="1" s="1"/>
  <c r="K475" i="1"/>
  <c r="M475" i="1" s="1"/>
  <c r="K476" i="1"/>
  <c r="M476" i="1" s="1"/>
  <c r="K477" i="1"/>
  <c r="M477" i="1" s="1"/>
  <c r="K478" i="1"/>
  <c r="M478" i="1" s="1"/>
  <c r="K479" i="1"/>
  <c r="K480" i="1"/>
  <c r="M480" i="1" s="1"/>
  <c r="K481" i="1"/>
  <c r="M481" i="1" s="1"/>
  <c r="K482" i="1"/>
  <c r="M482" i="1" s="1"/>
  <c r="K483" i="1"/>
  <c r="M483" i="1" s="1"/>
  <c r="K484" i="1"/>
  <c r="M484" i="1" s="1"/>
  <c r="K485" i="1"/>
  <c r="M485" i="1" s="1"/>
  <c r="K486" i="1"/>
  <c r="M486" i="1" s="1"/>
  <c r="K487" i="1"/>
  <c r="M487" i="1" s="1"/>
  <c r="K488" i="1"/>
  <c r="M488" i="1" s="1"/>
  <c r="K489" i="1"/>
  <c r="M489" i="1" s="1"/>
  <c r="K490" i="1"/>
  <c r="M490" i="1" s="1"/>
  <c r="K491" i="1"/>
  <c r="M491" i="1" s="1"/>
  <c r="K492" i="1"/>
  <c r="M492" i="1" s="1"/>
  <c r="K493" i="1"/>
  <c r="M493" i="1" s="1"/>
  <c r="K494" i="1"/>
  <c r="M494" i="1" s="1"/>
  <c r="K495" i="1"/>
  <c r="K496" i="1"/>
  <c r="M496" i="1" s="1"/>
  <c r="K497" i="1"/>
  <c r="M497" i="1" s="1"/>
  <c r="K498" i="1"/>
  <c r="M498" i="1" s="1"/>
  <c r="K499" i="1"/>
  <c r="M499" i="1" s="1"/>
  <c r="K500" i="1"/>
  <c r="M500" i="1" s="1"/>
  <c r="K501" i="1"/>
  <c r="M501" i="1" s="1"/>
  <c r="H3" i="4"/>
  <c r="F3" i="4"/>
  <c r="D3" i="4"/>
  <c r="B3" i="4"/>
</calcChain>
</file>

<file path=xl/sharedStrings.xml><?xml version="1.0" encoding="utf-8"?>
<sst xmlns="http://schemas.openxmlformats.org/spreadsheetml/2006/main" count="3285" uniqueCount="736">
  <si>
    <t>Order ID</t>
  </si>
  <si>
    <t>Order Date</t>
  </si>
  <si>
    <t>Customer ID</t>
  </si>
  <si>
    <t>Product</t>
  </si>
  <si>
    <t>Category</t>
  </si>
  <si>
    <t>Region</t>
  </si>
  <si>
    <t>Quantity</t>
  </si>
  <si>
    <t>Unit Price</t>
  </si>
  <si>
    <t>Discount %</t>
  </si>
  <si>
    <t>Payment Method</t>
  </si>
  <si>
    <t>O0001</t>
  </si>
  <si>
    <t>C029</t>
  </si>
  <si>
    <t>Wireless Earbuds</t>
  </si>
  <si>
    <t>Electronics</t>
  </si>
  <si>
    <t>South</t>
  </si>
  <si>
    <t>UPI</t>
  </si>
  <si>
    <t>O0002</t>
  </si>
  <si>
    <t>C140</t>
  </si>
  <si>
    <t>Bluetooth Speaker</t>
  </si>
  <si>
    <t>North</t>
  </si>
  <si>
    <t>Credit Card</t>
  </si>
  <si>
    <t>O0003</t>
  </si>
  <si>
    <t>C130</t>
  </si>
  <si>
    <t>Coffee Maker</t>
  </si>
  <si>
    <t>Home &amp; Kitchen</t>
  </si>
  <si>
    <t>West</t>
  </si>
  <si>
    <t>O0004</t>
  </si>
  <si>
    <t>C151</t>
  </si>
  <si>
    <t>Phone Case</t>
  </si>
  <si>
    <t>Accessories</t>
  </si>
  <si>
    <t>Cash on Delivery</t>
  </si>
  <si>
    <t>O0005</t>
  </si>
  <si>
    <t>C072</t>
  </si>
  <si>
    <t>Smart Watch</t>
  </si>
  <si>
    <t>O0006</t>
  </si>
  <si>
    <t>C025</t>
  </si>
  <si>
    <t>USB-C Cable</t>
  </si>
  <si>
    <t>O0007</t>
  </si>
  <si>
    <t>C032</t>
  </si>
  <si>
    <t>Running Shoes</t>
  </si>
  <si>
    <t>Fashion</t>
  </si>
  <si>
    <t>East</t>
  </si>
  <si>
    <t>Net Banking</t>
  </si>
  <si>
    <t>O0008</t>
  </si>
  <si>
    <t>C018</t>
  </si>
  <si>
    <t>O0009</t>
  </si>
  <si>
    <t>C098</t>
  </si>
  <si>
    <t>Debit Card</t>
  </si>
  <si>
    <t>O0010</t>
  </si>
  <si>
    <t>C054</t>
  </si>
  <si>
    <t>Water Bottle</t>
  </si>
  <si>
    <t>O0011</t>
  </si>
  <si>
    <t>C044</t>
  </si>
  <si>
    <t>Jeans</t>
  </si>
  <si>
    <t>O0012</t>
  </si>
  <si>
    <t>C177</t>
  </si>
  <si>
    <t>O0013</t>
  </si>
  <si>
    <t>C081</t>
  </si>
  <si>
    <t>O0014</t>
  </si>
  <si>
    <t>C128</t>
  </si>
  <si>
    <t>O0015</t>
  </si>
  <si>
    <t>C064</t>
  </si>
  <si>
    <t>Desk Lamp</t>
  </si>
  <si>
    <t>O0016</t>
  </si>
  <si>
    <t>C093</t>
  </si>
  <si>
    <t>Laptop Backpack</t>
  </si>
  <si>
    <t>O0017</t>
  </si>
  <si>
    <t>O0018</t>
  </si>
  <si>
    <t>C099</t>
  </si>
  <si>
    <t>O0019</t>
  </si>
  <si>
    <t>C175</t>
  </si>
  <si>
    <t>O0020</t>
  </si>
  <si>
    <t>C076</t>
  </si>
  <si>
    <t>O0021</t>
  </si>
  <si>
    <t>O0022</t>
  </si>
  <si>
    <t>C042</t>
  </si>
  <si>
    <t>O0023</t>
  </si>
  <si>
    <t>C126</t>
  </si>
  <si>
    <t>O0024</t>
  </si>
  <si>
    <t>C062</t>
  </si>
  <si>
    <t>O0025</t>
  </si>
  <si>
    <t>C033</t>
  </si>
  <si>
    <t>O0026</t>
  </si>
  <si>
    <t>C156</t>
  </si>
  <si>
    <t>O0027</t>
  </si>
  <si>
    <t>C172</t>
  </si>
  <si>
    <t>O0028</t>
  </si>
  <si>
    <t>C058</t>
  </si>
  <si>
    <t>O0029</t>
  </si>
  <si>
    <t>C002</t>
  </si>
  <si>
    <t>O0030</t>
  </si>
  <si>
    <t>C019</t>
  </si>
  <si>
    <t>O0031</t>
  </si>
  <si>
    <t>C147</t>
  </si>
  <si>
    <t>O0032</t>
  </si>
  <si>
    <t>O0033</t>
  </si>
  <si>
    <t>C168</t>
  </si>
  <si>
    <t>O0034</t>
  </si>
  <si>
    <t>C050</t>
  </si>
  <si>
    <t>O0035</t>
  </si>
  <si>
    <t>O0036</t>
  </si>
  <si>
    <t>C139</t>
  </si>
  <si>
    <t>O0037</t>
  </si>
  <si>
    <t>C125</t>
  </si>
  <si>
    <t>Casual T-Shirt</t>
  </si>
  <si>
    <t>O0038</t>
  </si>
  <si>
    <t>C001</t>
  </si>
  <si>
    <t>O0039</t>
  </si>
  <si>
    <t>C179</t>
  </si>
  <si>
    <t>O0040</t>
  </si>
  <si>
    <t>O0041</t>
  </si>
  <si>
    <t>C013</t>
  </si>
  <si>
    <t>O0042</t>
  </si>
  <si>
    <t>C021</t>
  </si>
  <si>
    <t>O0043</t>
  </si>
  <si>
    <t>C146</t>
  </si>
  <si>
    <t>O0044</t>
  </si>
  <si>
    <t>C150</t>
  </si>
  <si>
    <t>O0045</t>
  </si>
  <si>
    <t>C068</t>
  </si>
  <si>
    <t>O0046</t>
  </si>
  <si>
    <t>C003</t>
  </si>
  <si>
    <t>O0047</t>
  </si>
  <si>
    <t>C055</t>
  </si>
  <si>
    <t>O0048</t>
  </si>
  <si>
    <t>C073</t>
  </si>
  <si>
    <t>O0049</t>
  </si>
  <si>
    <t>C136</t>
  </si>
  <si>
    <t>O0050</t>
  </si>
  <si>
    <t>C030</t>
  </si>
  <si>
    <t>O0051</t>
  </si>
  <si>
    <t>C088</t>
  </si>
  <si>
    <t>O0052</t>
  </si>
  <si>
    <t>C024</t>
  </si>
  <si>
    <t>O0053</t>
  </si>
  <si>
    <t>C164</t>
  </si>
  <si>
    <t>O0054</t>
  </si>
  <si>
    <t>O0055</t>
  </si>
  <si>
    <t>C095</t>
  </si>
  <si>
    <t>O0056</t>
  </si>
  <si>
    <t>C011</t>
  </si>
  <si>
    <t>O0057</t>
  </si>
  <si>
    <t>C105</t>
  </si>
  <si>
    <t>O0058</t>
  </si>
  <si>
    <t>C106</t>
  </si>
  <si>
    <t>O0059</t>
  </si>
  <si>
    <t>C041</t>
  </si>
  <si>
    <t>O0060</t>
  </si>
  <si>
    <t>C118</t>
  </si>
  <si>
    <t>O0061</t>
  </si>
  <si>
    <t>C169</t>
  </si>
  <si>
    <t>O0062</t>
  </si>
  <si>
    <t>C165</t>
  </si>
  <si>
    <t>O0063</t>
  </si>
  <si>
    <t>C067</t>
  </si>
  <si>
    <t>O0064</t>
  </si>
  <si>
    <t>C112</t>
  </si>
  <si>
    <t>O0065</t>
  </si>
  <si>
    <t>C049</t>
  </si>
  <si>
    <t>O0066</t>
  </si>
  <si>
    <t>O0067</t>
  </si>
  <si>
    <t>C080</t>
  </si>
  <si>
    <t>O0068</t>
  </si>
  <si>
    <t>O0069</t>
  </si>
  <si>
    <t>C078</t>
  </si>
  <si>
    <t>O0070</t>
  </si>
  <si>
    <t>C149</t>
  </si>
  <si>
    <t>O0071</t>
  </si>
  <si>
    <t>C122</t>
  </si>
  <si>
    <t>O0072</t>
  </si>
  <si>
    <t>C173</t>
  </si>
  <si>
    <t>O0073</t>
  </si>
  <si>
    <t>O0074</t>
  </si>
  <si>
    <t>O0075</t>
  </si>
  <si>
    <t>C057</t>
  </si>
  <si>
    <t>O0076</t>
  </si>
  <si>
    <t>O0077</t>
  </si>
  <si>
    <t>O0078</t>
  </si>
  <si>
    <t>O0079</t>
  </si>
  <si>
    <t>C113</t>
  </si>
  <si>
    <t>O0080</t>
  </si>
  <si>
    <t>O0081</t>
  </si>
  <si>
    <t>C107</t>
  </si>
  <si>
    <t>O0082</t>
  </si>
  <si>
    <t>C100</t>
  </si>
  <si>
    <t>O0083</t>
  </si>
  <si>
    <t>C091</t>
  </si>
  <si>
    <t>O0084</t>
  </si>
  <si>
    <t>C155</t>
  </si>
  <si>
    <t>O0085</t>
  </si>
  <si>
    <t>C087</t>
  </si>
  <si>
    <t>O0086</t>
  </si>
  <si>
    <t>C160</t>
  </si>
  <si>
    <t>O0087</t>
  </si>
  <si>
    <t>C110</t>
  </si>
  <si>
    <t>O0088</t>
  </si>
  <si>
    <t>O0089</t>
  </si>
  <si>
    <t>C065</t>
  </si>
  <si>
    <t>O0090</t>
  </si>
  <si>
    <t>C167</t>
  </si>
  <si>
    <t>O0091</t>
  </si>
  <si>
    <t>C006</t>
  </si>
  <si>
    <t>O0092</t>
  </si>
  <si>
    <t>C120</t>
  </si>
  <si>
    <t>O0093</t>
  </si>
  <si>
    <t>C028</t>
  </si>
  <si>
    <t>O0094</t>
  </si>
  <si>
    <t>C020</t>
  </si>
  <si>
    <t>O0095</t>
  </si>
  <si>
    <t>C154</t>
  </si>
  <si>
    <t>O0096</t>
  </si>
  <si>
    <t>O0097</t>
  </si>
  <si>
    <t>O0098</t>
  </si>
  <si>
    <t>C046</t>
  </si>
  <si>
    <t>O0099</t>
  </si>
  <si>
    <t>C152</t>
  </si>
  <si>
    <t>O0100</t>
  </si>
  <si>
    <t>C063</t>
  </si>
  <si>
    <t>O0101</t>
  </si>
  <si>
    <t>C084</t>
  </si>
  <si>
    <t>O0102</t>
  </si>
  <si>
    <t>C153</t>
  </si>
  <si>
    <t>O0103</t>
  </si>
  <si>
    <t>O0104</t>
  </si>
  <si>
    <t>C005</t>
  </si>
  <si>
    <t>O0105</t>
  </si>
  <si>
    <t>O0106</t>
  </si>
  <si>
    <t>O0107</t>
  </si>
  <si>
    <t>O0108</t>
  </si>
  <si>
    <t>C124</t>
  </si>
  <si>
    <t>O0109</t>
  </si>
  <si>
    <t>O0110</t>
  </si>
  <si>
    <t>C014</t>
  </si>
  <si>
    <t>O0111</t>
  </si>
  <si>
    <t>O0112</t>
  </si>
  <si>
    <t>C123</t>
  </si>
  <si>
    <t>O0113</t>
  </si>
  <si>
    <t>C176</t>
  </si>
  <si>
    <t>O0114</t>
  </si>
  <si>
    <t>C031</t>
  </si>
  <si>
    <t>O0115</t>
  </si>
  <si>
    <t>C116</t>
  </si>
  <si>
    <t>O0116</t>
  </si>
  <si>
    <t>C159</t>
  </si>
  <si>
    <t>O0117</t>
  </si>
  <si>
    <t>C170</t>
  </si>
  <si>
    <t>O0118</t>
  </si>
  <si>
    <t>O0119</t>
  </si>
  <si>
    <t>O0120</t>
  </si>
  <si>
    <t>O0121</t>
  </si>
  <si>
    <t>C166</t>
  </si>
  <si>
    <t>O0122</t>
  </si>
  <si>
    <t>C079</t>
  </si>
  <si>
    <t>O0123</t>
  </si>
  <si>
    <t>O0124</t>
  </si>
  <si>
    <t>C127</t>
  </si>
  <si>
    <t>O0125</t>
  </si>
  <si>
    <t>O0126</t>
  </si>
  <si>
    <t>O0127</t>
  </si>
  <si>
    <t>O0128</t>
  </si>
  <si>
    <t>C086</t>
  </si>
  <si>
    <t>O0129</t>
  </si>
  <si>
    <t>O0130</t>
  </si>
  <si>
    <t>O0131</t>
  </si>
  <si>
    <t>O0132</t>
  </si>
  <si>
    <t>C161</t>
  </si>
  <si>
    <t>O0133</t>
  </si>
  <si>
    <t>O0134</t>
  </si>
  <si>
    <t>C142</t>
  </si>
  <si>
    <t>O0135</t>
  </si>
  <si>
    <t>O0136</t>
  </si>
  <si>
    <t>C121</t>
  </si>
  <si>
    <t>O0137</t>
  </si>
  <si>
    <t>C035</t>
  </si>
  <si>
    <t>O0138</t>
  </si>
  <si>
    <t>C069</t>
  </si>
  <si>
    <t>O0139</t>
  </si>
  <si>
    <t>C138</t>
  </si>
  <si>
    <t>O0140</t>
  </si>
  <si>
    <t>O0141</t>
  </si>
  <si>
    <t>O0142</t>
  </si>
  <si>
    <t>O0143</t>
  </si>
  <si>
    <t>C135</t>
  </si>
  <si>
    <t>O0144</t>
  </si>
  <si>
    <t>O0145</t>
  </si>
  <si>
    <t>C137</t>
  </si>
  <si>
    <t>O0146</t>
  </si>
  <si>
    <t>O0147</t>
  </si>
  <si>
    <t>O0148</t>
  </si>
  <si>
    <t>C178</t>
  </si>
  <si>
    <t>O0149</t>
  </si>
  <si>
    <t>C096</t>
  </si>
  <si>
    <t>O0150</t>
  </si>
  <si>
    <t>O0151</t>
  </si>
  <si>
    <t>C037</t>
  </si>
  <si>
    <t>O0152</t>
  </si>
  <si>
    <t>C074</t>
  </si>
  <si>
    <t>O0153</t>
  </si>
  <si>
    <t>O0154</t>
  </si>
  <si>
    <t>O0155</t>
  </si>
  <si>
    <t>O0156</t>
  </si>
  <si>
    <t>O0157</t>
  </si>
  <si>
    <t>C174</t>
  </si>
  <si>
    <t>O0158</t>
  </si>
  <si>
    <t>O0159</t>
  </si>
  <si>
    <t>O0160</t>
  </si>
  <si>
    <t>O0161</t>
  </si>
  <si>
    <t>O0162</t>
  </si>
  <si>
    <t>C094</t>
  </si>
  <si>
    <t>O0163</t>
  </si>
  <si>
    <t>O0164</t>
  </si>
  <si>
    <t>C060</t>
  </si>
  <si>
    <t>O0165</t>
  </si>
  <si>
    <t>O0166</t>
  </si>
  <si>
    <t>C036</t>
  </si>
  <si>
    <t>O0167</t>
  </si>
  <si>
    <t>C061</t>
  </si>
  <si>
    <t>O0168</t>
  </si>
  <si>
    <t>O0169</t>
  </si>
  <si>
    <t>O0170</t>
  </si>
  <si>
    <t>O0171</t>
  </si>
  <si>
    <t>C071</t>
  </si>
  <si>
    <t>O0172</t>
  </si>
  <si>
    <t>O0173</t>
  </si>
  <si>
    <t>O0174</t>
  </si>
  <si>
    <t>O0175</t>
  </si>
  <si>
    <t>C034</t>
  </si>
  <si>
    <t>O0176</t>
  </si>
  <si>
    <t>C092</t>
  </si>
  <si>
    <t>O0177</t>
  </si>
  <si>
    <t>C108</t>
  </si>
  <si>
    <t>O0178</t>
  </si>
  <si>
    <t>O0179</t>
  </si>
  <si>
    <t>O0180</t>
  </si>
  <si>
    <t>O0181</t>
  </si>
  <si>
    <t>O0182</t>
  </si>
  <si>
    <t>O0183</t>
  </si>
  <si>
    <t>O0184</t>
  </si>
  <si>
    <t>O0185</t>
  </si>
  <si>
    <t>C171</t>
  </si>
  <si>
    <t>O0186</t>
  </si>
  <si>
    <t>C022</t>
  </si>
  <si>
    <t>O0187</t>
  </si>
  <si>
    <t>C016</t>
  </si>
  <si>
    <t>O0188</t>
  </si>
  <si>
    <t>O0189</t>
  </si>
  <si>
    <t>O0190</t>
  </si>
  <si>
    <t>C090</t>
  </si>
  <si>
    <t>O0191</t>
  </si>
  <si>
    <t>O0192</t>
  </si>
  <si>
    <t>C070</t>
  </si>
  <si>
    <t>O0193</t>
  </si>
  <si>
    <t>O0194</t>
  </si>
  <si>
    <t>C056</t>
  </si>
  <si>
    <t>O0195</t>
  </si>
  <si>
    <t>O0196</t>
  </si>
  <si>
    <t>O0197</t>
  </si>
  <si>
    <t>O0198</t>
  </si>
  <si>
    <t>O0199</t>
  </si>
  <si>
    <t>C102</t>
  </si>
  <si>
    <t>O0200</t>
  </si>
  <si>
    <t>C075</t>
  </si>
  <si>
    <t>O0201</t>
  </si>
  <si>
    <t>O0202</t>
  </si>
  <si>
    <t>O0203</t>
  </si>
  <si>
    <t>O0204</t>
  </si>
  <si>
    <t>O0205</t>
  </si>
  <si>
    <t>O0206</t>
  </si>
  <si>
    <t>O0207</t>
  </si>
  <si>
    <t>O0208</t>
  </si>
  <si>
    <t>C038</t>
  </si>
  <si>
    <t>O0209</t>
  </si>
  <si>
    <t>O0210</t>
  </si>
  <si>
    <t>C163</t>
  </si>
  <si>
    <t>O0211</t>
  </si>
  <si>
    <t>O0212</t>
  </si>
  <si>
    <t>O0213</t>
  </si>
  <si>
    <t>O0214</t>
  </si>
  <si>
    <t>O0215</t>
  </si>
  <si>
    <t>O0216</t>
  </si>
  <si>
    <t>C027</t>
  </si>
  <si>
    <t>O0217</t>
  </si>
  <si>
    <t>O0218</t>
  </si>
  <si>
    <t>O0219</t>
  </si>
  <si>
    <t>C085</t>
  </si>
  <si>
    <t>O0220</t>
  </si>
  <si>
    <t>O0221</t>
  </si>
  <si>
    <t>O0222</t>
  </si>
  <si>
    <t>C097</t>
  </si>
  <si>
    <t>O0223</t>
  </si>
  <si>
    <t>O0224</t>
  </si>
  <si>
    <t>O0225</t>
  </si>
  <si>
    <t>O0226</t>
  </si>
  <si>
    <t>O0227</t>
  </si>
  <si>
    <t>O0228</t>
  </si>
  <si>
    <t>C115</t>
  </si>
  <si>
    <t>O0229</t>
  </si>
  <si>
    <t>O0230</t>
  </si>
  <si>
    <t>O0231</t>
  </si>
  <si>
    <t>O0232</t>
  </si>
  <si>
    <t>O0233</t>
  </si>
  <si>
    <t>O0234</t>
  </si>
  <si>
    <t>C129</t>
  </si>
  <si>
    <t>O0235</t>
  </si>
  <si>
    <t>C082</t>
  </si>
  <si>
    <t>O0236</t>
  </si>
  <si>
    <t>O0237</t>
  </si>
  <si>
    <t>O0238</t>
  </si>
  <si>
    <t>O0239</t>
  </si>
  <si>
    <t>O0240</t>
  </si>
  <si>
    <t>O0241</t>
  </si>
  <si>
    <t>O0242</t>
  </si>
  <si>
    <t>O0243</t>
  </si>
  <si>
    <t>C012</t>
  </si>
  <si>
    <t>O0244</t>
  </si>
  <si>
    <t>C089</t>
  </si>
  <si>
    <t>O0245</t>
  </si>
  <si>
    <t>O0246</t>
  </si>
  <si>
    <t>C047</t>
  </si>
  <si>
    <t>O0247</t>
  </si>
  <si>
    <t>C052</t>
  </si>
  <si>
    <t>O0248</t>
  </si>
  <si>
    <t>O0249</t>
  </si>
  <si>
    <t>O0250</t>
  </si>
  <si>
    <t>O0251</t>
  </si>
  <si>
    <t>O0252</t>
  </si>
  <si>
    <t>C083</t>
  </si>
  <si>
    <t>O0253</t>
  </si>
  <si>
    <t>O0254</t>
  </si>
  <si>
    <t>O0255</t>
  </si>
  <si>
    <t>O0256</t>
  </si>
  <si>
    <t>O0257</t>
  </si>
  <si>
    <t>O0258</t>
  </si>
  <si>
    <t>O0259</t>
  </si>
  <si>
    <t>O0260</t>
  </si>
  <si>
    <t>O0261</t>
  </si>
  <si>
    <t>O0262</t>
  </si>
  <si>
    <t>O0263</t>
  </si>
  <si>
    <t>O0264</t>
  </si>
  <si>
    <t>C180</t>
  </si>
  <si>
    <t>O0265</t>
  </si>
  <si>
    <t>O0266</t>
  </si>
  <si>
    <t>O0267</t>
  </si>
  <si>
    <t>O0268</t>
  </si>
  <si>
    <t>O0269</t>
  </si>
  <si>
    <t>O0270</t>
  </si>
  <si>
    <t>O0271</t>
  </si>
  <si>
    <t>C051</t>
  </si>
  <si>
    <t>O0272</t>
  </si>
  <si>
    <t>O0273</t>
  </si>
  <si>
    <t>O0274</t>
  </si>
  <si>
    <t>O0275</t>
  </si>
  <si>
    <t>O0276</t>
  </si>
  <si>
    <t>O0277</t>
  </si>
  <si>
    <t>O0278</t>
  </si>
  <si>
    <t>O0279</t>
  </si>
  <si>
    <t>O0280</t>
  </si>
  <si>
    <t>O0281</t>
  </si>
  <si>
    <t>O0282</t>
  </si>
  <si>
    <t>O0283</t>
  </si>
  <si>
    <t>O0284</t>
  </si>
  <si>
    <t>O0285</t>
  </si>
  <si>
    <t>O0286</t>
  </si>
  <si>
    <t>O0287</t>
  </si>
  <si>
    <t>C157</t>
  </si>
  <si>
    <t>O0288</t>
  </si>
  <si>
    <t>O0289</t>
  </si>
  <si>
    <t>O0290</t>
  </si>
  <si>
    <t>C132</t>
  </si>
  <si>
    <t>O0291</t>
  </si>
  <si>
    <t>C077</t>
  </si>
  <si>
    <t>O0292</t>
  </si>
  <si>
    <t>O0293</t>
  </si>
  <si>
    <t>O0294</t>
  </si>
  <si>
    <t>O0295</t>
  </si>
  <si>
    <t>O0296</t>
  </si>
  <si>
    <t>O0297</t>
  </si>
  <si>
    <t>O0298</t>
  </si>
  <si>
    <t>O0299</t>
  </si>
  <si>
    <t>O0300</t>
  </si>
  <si>
    <t>O0301</t>
  </si>
  <si>
    <t>O0302</t>
  </si>
  <si>
    <t>O0303</t>
  </si>
  <si>
    <t>O0304</t>
  </si>
  <si>
    <t>C066</t>
  </si>
  <si>
    <t>O0305</t>
  </si>
  <si>
    <t>O0306</t>
  </si>
  <si>
    <t>O0307</t>
  </si>
  <si>
    <t>O0308</t>
  </si>
  <si>
    <t>O0309</t>
  </si>
  <si>
    <t>O0310</t>
  </si>
  <si>
    <t>C045</t>
  </si>
  <si>
    <t>O0311</t>
  </si>
  <si>
    <t>C048</t>
  </si>
  <si>
    <t>O0312</t>
  </si>
  <si>
    <t>O0313</t>
  </si>
  <si>
    <t>O0314</t>
  </si>
  <si>
    <t>O0315</t>
  </si>
  <si>
    <t>O0316</t>
  </si>
  <si>
    <t>C104</t>
  </si>
  <si>
    <t>O0317</t>
  </si>
  <si>
    <t>O0318</t>
  </si>
  <si>
    <t>O0319</t>
  </si>
  <si>
    <t>O0320</t>
  </si>
  <si>
    <t>O0321</t>
  </si>
  <si>
    <t>O0322</t>
  </si>
  <si>
    <t>C117</t>
  </si>
  <si>
    <t>O0323</t>
  </si>
  <si>
    <t>O0324</t>
  </si>
  <si>
    <t>O0325</t>
  </si>
  <si>
    <t>O0326</t>
  </si>
  <si>
    <t>O0327</t>
  </si>
  <si>
    <t>C015</t>
  </si>
  <si>
    <t>O0328</t>
  </si>
  <si>
    <t>O0329</t>
  </si>
  <si>
    <t>O0330</t>
  </si>
  <si>
    <t>C009</t>
  </si>
  <si>
    <t>O0331</t>
  </si>
  <si>
    <t>O0332</t>
  </si>
  <si>
    <t>O0333</t>
  </si>
  <si>
    <t>O0334</t>
  </si>
  <si>
    <t>O0335</t>
  </si>
  <si>
    <t>O0336</t>
  </si>
  <si>
    <t>O0337</t>
  </si>
  <si>
    <t>C103</t>
  </si>
  <si>
    <t>O0338</t>
  </si>
  <si>
    <t>O0339</t>
  </si>
  <si>
    <t>O0340</t>
  </si>
  <si>
    <t>O0341</t>
  </si>
  <si>
    <t>O0342</t>
  </si>
  <si>
    <t>O0343</t>
  </si>
  <si>
    <t>O0344</t>
  </si>
  <si>
    <t>O0345</t>
  </si>
  <si>
    <t>O0346</t>
  </si>
  <si>
    <t>O0347</t>
  </si>
  <si>
    <t>O0348</t>
  </si>
  <si>
    <t>C004</t>
  </si>
  <si>
    <t>O0349</t>
  </si>
  <si>
    <t>O0350</t>
  </si>
  <si>
    <t>O0351</t>
  </si>
  <si>
    <t>O0352</t>
  </si>
  <si>
    <t>O0353</t>
  </si>
  <si>
    <t>O0354</t>
  </si>
  <si>
    <t>O0355</t>
  </si>
  <si>
    <t>O0356</t>
  </si>
  <si>
    <t>O0357</t>
  </si>
  <si>
    <t>O0358</t>
  </si>
  <si>
    <t>O0359</t>
  </si>
  <si>
    <t>O0360</t>
  </si>
  <si>
    <t>O0361</t>
  </si>
  <si>
    <t>O0362</t>
  </si>
  <si>
    <t>O0363</t>
  </si>
  <si>
    <t>O0364</t>
  </si>
  <si>
    <t>O0365</t>
  </si>
  <si>
    <t>O0366</t>
  </si>
  <si>
    <t>O0367</t>
  </si>
  <si>
    <t>C059</t>
  </si>
  <si>
    <t>O0368</t>
  </si>
  <si>
    <t>O0369</t>
  </si>
  <si>
    <t>O0370</t>
  </si>
  <si>
    <t>O0371</t>
  </si>
  <si>
    <t>O0372</t>
  </si>
  <si>
    <t>O0373</t>
  </si>
  <si>
    <t>O0374</t>
  </si>
  <si>
    <t>O0375</t>
  </si>
  <si>
    <t>O0376</t>
  </si>
  <si>
    <t>O0377</t>
  </si>
  <si>
    <t>O0378</t>
  </si>
  <si>
    <t>O0379</t>
  </si>
  <si>
    <t>C023</t>
  </si>
  <si>
    <t>O0380</t>
  </si>
  <si>
    <t>O0381</t>
  </si>
  <si>
    <t>O0382</t>
  </si>
  <si>
    <t>O0383</t>
  </si>
  <si>
    <t>O0384</t>
  </si>
  <si>
    <t>O0385</t>
  </si>
  <si>
    <t>O0386</t>
  </si>
  <si>
    <t>O0387</t>
  </si>
  <si>
    <t>O0388</t>
  </si>
  <si>
    <t>O0389</t>
  </si>
  <si>
    <t>O0390</t>
  </si>
  <si>
    <t>O0391</t>
  </si>
  <si>
    <t>O0392</t>
  </si>
  <si>
    <t>O0393</t>
  </si>
  <si>
    <t>O0394</t>
  </si>
  <si>
    <t>O0395</t>
  </si>
  <si>
    <t>O0396</t>
  </si>
  <si>
    <t>C026</t>
  </si>
  <si>
    <t>O0397</t>
  </si>
  <si>
    <t>C101</t>
  </si>
  <si>
    <t>O0398</t>
  </si>
  <si>
    <t>O0399</t>
  </si>
  <si>
    <t>O0400</t>
  </si>
  <si>
    <t>O0401</t>
  </si>
  <si>
    <t>O0402</t>
  </si>
  <si>
    <t>O0403</t>
  </si>
  <si>
    <t>C162</t>
  </si>
  <si>
    <t>O0404</t>
  </si>
  <si>
    <t>O0405</t>
  </si>
  <si>
    <t>C017</t>
  </si>
  <si>
    <t>O0406</t>
  </si>
  <si>
    <t>O0407</t>
  </si>
  <si>
    <t>O0408</t>
  </si>
  <si>
    <t>O0409</t>
  </si>
  <si>
    <t>O0410</t>
  </si>
  <si>
    <t>O0411</t>
  </si>
  <si>
    <t>C109</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</si>
  <si>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</si>
  <si>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</si>
  <si>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</si>
  <si>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</si>
  <si>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</si>
  <si>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</si>
  <si>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</si>
  <si>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</si>
  <si>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</si>
  <si>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</si>
  <si>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</si>
  <si>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</si>
  <si>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</si>
  <si>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</si>
  <si>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</si>
  <si>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</si>
  <si>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</si>
  <si>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</si>
  <si>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</si>
  <si>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</si>
  <si>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</si>
  <si>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</si>
  <si>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</si>
  <si>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</si>
  <si>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</si>
  <si>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</si>
  <si>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</si>
  <si>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</si>
  <si>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</si>
  <si>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</si>
  <si>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</si>
  <si>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</si>
  <si>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</si>
  <si>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</si>
  <si>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C133</t>
  </si>
  <si>
    <t>O0446</t>
  </si>
  <si>
    <t>O0447</t>
  </si>
  <si>
    <t>O0448</t>
  </si>
  <si>
    <t>O0449</t>
  </si>
  <si>
    <t>O0450</t>
  </si>
  <si>
    <t>O0451</t>
  </si>
  <si>
    <t>O0452</t>
  </si>
  <si>
    <t>C131</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</si>
  <si>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</si>
  <si>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</si>
  <si>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</si>
  <si>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</si>
  <si>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</si>
  <si>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</si>
  <si>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</si>
  <si>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</si>
  <si>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</si>
  <si>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</si>
  <si>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</si>
  <si>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</si>
  <si>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</si>
  <si>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</si>
  <si>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</si>
  <si>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</si>
  <si>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</si>
  <si>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</si>
  <si>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</si>
  <si>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</si>
  <si>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</si>
  <si>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</si>
  <si>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</si>
  <si>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</si>
  <si>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C043</t>
  </si>
  <si>
    <t>O0477</t>
  </si>
  <si>
    <t>O0478</t>
  </si>
  <si>
    <t>O0479</t>
  </si>
  <si>
    <t>O0480</t>
  </si>
  <si>
    <t>C008</t>
  </si>
  <si>
    <t>O0481</t>
  </si>
  <si>
    <t>O0482</t>
  </si>
  <si>
    <t>O0483</t>
  </si>
  <si>
    <t>O0484</t>
  </si>
  <si>
    <t>O0485</t>
  </si>
  <si>
    <t>O0486</t>
  </si>
  <si>
    <t>O0487</t>
  </si>
  <si>
    <t>C158</t>
  </si>
  <si>
    <t>O0488</t>
  </si>
  <si>
    <t>O0489</t>
  </si>
  <si>
    <t>O0490</t>
  </si>
  <si>
    <t>O0491</t>
  </si>
  <si>
    <t>O0492</t>
  </si>
  <si>
    <t>O0493</t>
  </si>
  <si>
    <t>O0494</t>
  </si>
  <si>
    <t>O0495</t>
  </si>
  <si>
    <t>C145</t>
  </si>
  <si>
    <t>O0496</t>
  </si>
  <si>
    <t>O0497</t>
  </si>
  <si>
    <t>O0498</t>
  </si>
  <si>
    <t>O0499</t>
  </si>
  <si>
    <t>O0500</t>
  </si>
  <si>
    <t>revenue</t>
  </si>
  <si>
    <t>product</t>
  </si>
  <si>
    <t>cost per unit</t>
  </si>
  <si>
    <t>profit</t>
  </si>
  <si>
    <t>profit margin</t>
  </si>
  <si>
    <t>Row Labels</t>
  </si>
  <si>
    <t>Grand Total</t>
  </si>
  <si>
    <t>Sum of revenue</t>
  </si>
  <si>
    <t>Sum of profit</t>
  </si>
  <si>
    <t>Average of profit margin</t>
  </si>
  <si>
    <t>Count of Order ID</t>
  </si>
  <si>
    <t>Jan</t>
  </si>
  <si>
    <t>Feb</t>
  </si>
  <si>
    <t>Mar</t>
  </si>
  <si>
    <t>Apr</t>
  </si>
  <si>
    <t>May</t>
  </si>
  <si>
    <t>Jun</t>
  </si>
  <si>
    <t>Jul</t>
  </si>
  <si>
    <t>Aug</t>
  </si>
  <si>
    <t>Sep</t>
  </si>
  <si>
    <t>Oct</t>
  </si>
  <si>
    <t>Nov</t>
  </si>
  <si>
    <t>Dec</t>
  </si>
  <si>
    <t>total revenue</t>
  </si>
  <si>
    <t>total profit</t>
  </si>
  <si>
    <t>total orders</t>
  </si>
  <si>
    <r>
      <t>Running Shoes</t>
    </r>
    <r>
      <rPr>
        <sz val="11"/>
        <color theme="1"/>
        <rFont val="Calibri"/>
        <family val="2"/>
        <scheme val="minor"/>
      </rPr>
      <t xml:space="preserve"> generated the highest revenue and total profit.</t>
    </r>
  </si>
  <si>
    <r>
      <t>USB-C Cable</t>
    </r>
    <r>
      <rPr>
        <sz val="11"/>
        <color theme="1"/>
        <rFont val="Calibri"/>
        <family val="2"/>
        <scheme val="minor"/>
      </rPr>
      <t xml:space="preserve"> had the highest average profit margin.</t>
    </r>
  </si>
  <si>
    <r>
      <t>North</t>
    </r>
    <r>
      <rPr>
        <sz val="11"/>
        <color theme="1"/>
        <rFont val="Calibri"/>
        <family val="2"/>
        <scheme val="minor"/>
      </rPr>
      <t xml:space="preserve"> generated the highest revenue and total profit among regions.</t>
    </r>
  </si>
  <si>
    <r>
      <t>Electronics</t>
    </r>
    <r>
      <rPr>
        <sz val="11"/>
        <color theme="1"/>
        <rFont val="Calibri"/>
        <family val="2"/>
        <scheme val="minor"/>
      </rPr>
      <t xml:space="preserve"> was the strongest category by revenue and profit.</t>
    </r>
  </si>
  <si>
    <r>
      <t>UPI</t>
    </r>
    <r>
      <rPr>
        <sz val="11"/>
        <color theme="1"/>
        <rFont val="Calibri"/>
        <family val="2"/>
        <scheme val="minor"/>
      </rPr>
      <t xml:space="preserve"> generated the highest revenue among payment methods.</t>
    </r>
  </si>
  <si>
    <r>
      <t>October</t>
    </r>
    <r>
      <rPr>
        <sz val="11"/>
        <color theme="1"/>
        <rFont val="Calibri"/>
        <family val="2"/>
        <scheme val="minor"/>
      </rPr>
      <t xml:space="preserve"> had the highest revenue, while </t>
    </r>
    <r>
      <rPr>
        <b/>
        <sz val="11"/>
        <color theme="1"/>
        <rFont val="Calibri"/>
        <family val="2"/>
        <scheme val="minor"/>
      </rPr>
      <t>January</t>
    </r>
    <r>
      <rPr>
        <sz val="11"/>
        <color theme="1"/>
        <rFont val="Calibri"/>
        <family val="2"/>
        <scheme val="minor"/>
      </rPr>
      <t xml:space="preserve"> had the highest profit</t>
    </r>
  </si>
  <si>
    <t>Key Bussiness Insights</t>
  </si>
  <si>
    <t>E-commerce sales and profit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</si>
</sst>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dd\-mmm\-yyyy"/>
    <numFmt numFmtId="165" formatCode="\₹#,##0"/>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b/>
      <sz val="16"/>
      <color theme="1"/>
      <name val="Calibri"/>
      <family val="2"/>
      <scheme val="minor"/>
    </font>
    <font>
      <sz val="16"/>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0" tint="-0.14999847407452621"/>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7">
    <xf numFmtId="0" fontId="0" fillId="0" borderId="0" xfId="0"/>
    <xf numFmtId="0" fontId="1" fillId="0" borderId="0" xfId="0" applyFont="1"/>
    <xf numFmtId="164" fontId="0" fillId="0" borderId="0" xfId="0" applyNumberFormat="1"/>
    <xf numFmtId="165" fontId="0" fillId="0" borderId="0" xfId="0" applyNumberFormat="1"/>
    <xf numFmtId="9" fontId="0" fillId="0" borderId="0" xfId="0" applyNumberFormat="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applyNumberFormat="1"/>
    <xf numFmtId="9" fontId="0" fillId="0" borderId="0" xfId="2" applyFont="1"/>
    <xf numFmtId="9" fontId="1" fillId="0" borderId="0" xfId="2" applyFont="1"/>
    <xf numFmtId="0" fontId="0" fillId="0" borderId="0" xfId="0" pivotButton="1"/>
    <xf numFmtId="0" fontId="0" fillId="0" borderId="0" xfId="0" applyAlignment="1">
      <alignment horizontal="left"/>
    </xf>
    <xf numFmtId="0" fontId="4" fillId="0" borderId="0" xfId="0" applyFont="1"/>
    <xf numFmtId="0" fontId="5"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4" fillId="3" borderId="4" xfId="0" applyFont="1" applyFill="1" applyBorder="1"/>
    <xf numFmtId="0" fontId="0" fillId="3" borderId="6" xfId="0" applyFill="1" applyBorder="1"/>
    <xf numFmtId="44" fontId="5" fillId="4" borderId="5" xfId="1" applyFont="1" applyFill="1" applyBorder="1"/>
    <xf numFmtId="0" fontId="0" fillId="4" borderId="7" xfId="0" applyFill="1" applyBorder="1"/>
    <xf numFmtId="0" fontId="5" fillId="4" borderId="5" xfId="0" applyFont="1" applyFill="1" applyBorder="1"/>
    <xf numFmtId="9" fontId="5" fillId="4" borderId="5" xfId="2" applyFont="1" applyFill="1" applyBorder="1"/>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cellXfs>
  <cellStyles count="3">
    <cellStyle name="Currency" xfId="1" builtinId="4"/>
    <cellStyle name="Normal" xfId="0" builtinId="0"/>
    <cellStyle name="Percent" xfId="2" builtinId="5"/>
  </cellStyles>
  <dxfs count="19">
    <dxf>
      <numFmt numFmtId="0" formatCode="General"/>
    </dxf>
    <dxf>
      <numFmt numFmtId="0" formatCode="General"/>
    </dxf>
    <dxf>
      <numFmt numFmtId="0" formatCode="General"/>
    </dxf>
    <dxf>
      <numFmt numFmtId="13" formatCode="0%"/>
    </dxf>
    <dxf>
      <numFmt numFmtId="165" formatCode="\₹#,##0"/>
    </dxf>
    <dxf>
      <numFmt numFmtId="164" formatCode="dd\-mmm\-yyyy"/>
    </dxf>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[Ecommerce_Product_Analytics.xlsx]pivot6!PivotTable7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3688740659038"/>
          <c:y val="0.16151028927789374"/>
          <c:w val="0.72596812108596054"/>
          <c:h val="0.6251496651342664"/>
        </c:manualLayout>
      </c:layout>
      <c:barChart>
        <c:barDir val="col"/>
        <c:grouping val="clustered"/>
        <c:varyColors val="0"/>
        <c:ser>
          <c:idx val="0"/>
          <c:order val="0"/>
          <c:tx>
            <c:strRef>
              <c:f>pivot6!$B$3</c:f>
              <c:strCache>
                <c:ptCount val="1"/>
                <c:pt idx="0">
                  <c:v>Sum of revenue</c:v>
                </c:pt>
              </c:strCache>
            </c:strRef>
          </c:tx>
          <c:spPr>
            <a:solidFill>
              <a:schemeClr val="accent1"/>
            </a:solidFill>
            <a:ln>
              <a:noFill/>
            </a:ln>
            <a:effectLst/>
          </c:spPr>
          <c:invertIfNegative val="0"/>
          <c:cat>
            <c:strRef>
              <c:f>pivot6!$A$4:$A$16</c:f>
              <c:strCache>
                <c:ptCount val="12"/>
                <c:pt idx="0">
                  <c:v>Jan</c:v>
                </c:pt>
                <c:pt idx="1">
                  <c:v>Oct</c:v>
                </c:pt>
                <c:pt idx="2">
                  <c:v>May</c:v>
                </c:pt>
                <c:pt idx="3">
                  <c:v>Mar</c:v>
                </c:pt>
                <c:pt idx="4">
                  <c:v>Aug</c:v>
                </c:pt>
                <c:pt idx="5">
                  <c:v>Sep</c:v>
                </c:pt>
                <c:pt idx="6">
                  <c:v>Nov</c:v>
                </c:pt>
                <c:pt idx="7">
                  <c:v>Apr</c:v>
                </c:pt>
                <c:pt idx="8">
                  <c:v>Jun</c:v>
                </c:pt>
                <c:pt idx="9">
                  <c:v>Jul</c:v>
                </c:pt>
                <c:pt idx="10">
                  <c:v>Feb</c:v>
                </c:pt>
                <c:pt idx="11">
                  <c:v>Dec</c:v>
                </c:pt>
              </c:strCache>
            </c:strRef>
          </c:cat>
          <c:val>
            <c:numRef>
              <c:f>pivot6!$B$4:$B$16</c:f>
              <c:numCache>
                <c:formatCode>General</c:formatCode>
                <c:ptCount val="12"/>
                <c:pt idx="0">
                  <c:v>189137.19999999998</c:v>
                </c:pt>
                <c:pt idx="1">
                  <c:v>190472.30000000002</c:v>
                </c:pt>
                <c:pt idx="2">
                  <c:v>164898.75000000003</c:v>
                </c:pt>
                <c:pt idx="3">
                  <c:v>136163.70000000004</c:v>
                </c:pt>
                <c:pt idx="4">
                  <c:v>132865.60000000003</c:v>
                </c:pt>
                <c:pt idx="5">
                  <c:v>133495.25000000003</c:v>
                </c:pt>
                <c:pt idx="6">
                  <c:v>127957.55</c:v>
                </c:pt>
                <c:pt idx="7">
                  <c:v>133024.10000000003</c:v>
                </c:pt>
                <c:pt idx="8">
                  <c:v>124680.40000000001</c:v>
                </c:pt>
                <c:pt idx="9">
                  <c:v>124477.09999999999</c:v>
                </c:pt>
                <c:pt idx="10">
                  <c:v>110790.39999999999</c:v>
                </c:pt>
                <c:pt idx="11">
                  <c:v>112409.80000000002</c:v>
                </c:pt>
              </c:numCache>
            </c:numRef>
          </c:val>
          <c:extLst>
            <c:ext xmlns:c16="http://schemas.microsoft.com/office/drawing/2014/chart" uri="{C3380CC4-5D6E-409C-BE32-E72D297353CC}">
              <c16:uniqueId val="{00000000-8477-4FF1-9D9A-83701A61E34B}"/>
            </c:ext>
          </c:extLst>
        </c:ser>
        <c:ser>
          <c:idx val="1"/>
          <c:order val="1"/>
          <c:tx>
            <c:strRef>
              <c:f>pivot6!$C$3</c:f>
              <c:strCache>
                <c:ptCount val="1"/>
                <c:pt idx="0">
                  <c:v>Sum of profit</c:v>
                </c:pt>
              </c:strCache>
            </c:strRef>
          </c:tx>
          <c:spPr>
            <a:solidFill>
              <a:schemeClr val="accent2"/>
            </a:solidFill>
            <a:ln>
              <a:noFill/>
            </a:ln>
            <a:effectLst/>
          </c:spPr>
          <c:invertIfNegative val="0"/>
          <c:cat>
            <c:strRef>
              <c:f>pivot6!$A$4:$A$16</c:f>
              <c:strCache>
                <c:ptCount val="12"/>
                <c:pt idx="0">
                  <c:v>Jan</c:v>
                </c:pt>
                <c:pt idx="1">
                  <c:v>Oct</c:v>
                </c:pt>
                <c:pt idx="2">
                  <c:v>May</c:v>
                </c:pt>
                <c:pt idx="3">
                  <c:v>Mar</c:v>
                </c:pt>
                <c:pt idx="4">
                  <c:v>Aug</c:v>
                </c:pt>
                <c:pt idx="5">
                  <c:v>Sep</c:v>
                </c:pt>
                <c:pt idx="6">
                  <c:v>Nov</c:v>
                </c:pt>
                <c:pt idx="7">
                  <c:v>Apr</c:v>
                </c:pt>
                <c:pt idx="8">
                  <c:v>Jun</c:v>
                </c:pt>
                <c:pt idx="9">
                  <c:v>Jul</c:v>
                </c:pt>
                <c:pt idx="10">
                  <c:v>Feb</c:v>
                </c:pt>
                <c:pt idx="11">
                  <c:v>Dec</c:v>
                </c:pt>
              </c:strCache>
            </c:strRef>
          </c:cat>
          <c:val>
            <c:numRef>
              <c:f>pivot6!$C$4:$C$16</c:f>
              <c:numCache>
                <c:formatCode>General</c:formatCode>
                <c:ptCount val="12"/>
                <c:pt idx="0">
                  <c:v>68407.199999999997</c:v>
                </c:pt>
                <c:pt idx="1">
                  <c:v>64022.299999999996</c:v>
                </c:pt>
                <c:pt idx="2">
                  <c:v>59198.749999999993</c:v>
                </c:pt>
                <c:pt idx="3">
                  <c:v>48753.7</c:v>
                </c:pt>
                <c:pt idx="4">
                  <c:v>48745.599999999991</c:v>
                </c:pt>
                <c:pt idx="5">
                  <c:v>48405.25</c:v>
                </c:pt>
                <c:pt idx="6">
                  <c:v>46747.549999999988</c:v>
                </c:pt>
                <c:pt idx="7">
                  <c:v>45554.100000000013</c:v>
                </c:pt>
                <c:pt idx="8">
                  <c:v>44380.399999999987</c:v>
                </c:pt>
                <c:pt idx="9">
                  <c:v>43817.1</c:v>
                </c:pt>
                <c:pt idx="10">
                  <c:v>39870.399999999994</c:v>
                </c:pt>
                <c:pt idx="11">
                  <c:v>39249.799999999996</c:v>
                </c:pt>
              </c:numCache>
            </c:numRef>
          </c:val>
          <c:extLst>
            <c:ext xmlns:c16="http://schemas.microsoft.com/office/drawing/2014/chart" uri="{C3380CC4-5D6E-409C-BE32-E72D297353CC}">
              <c16:uniqueId val="{00000001-8477-4FF1-9D9A-83701A61E34B}"/>
            </c:ext>
          </c:extLst>
        </c:ser>
        <c:dLbls>
          <c:showLegendKey val="0"/>
          <c:showVal val="0"/>
          <c:showCatName val="0"/>
          <c:showSerName val="0"/>
          <c:showPercent val="0"/>
          <c:showBubbleSize val="0"/>
        </c:dLbls>
        <c:gapWidth val="219"/>
        <c:overlap val="-27"/>
        <c:axId val="1647494288"/>
        <c:axId val="1647494704"/>
      </c:barChart>
      <c:catAx>
        <c:axId val="164749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94704"/>
        <c:crosses val="autoZero"/>
        <c:auto val="1"/>
        <c:lblAlgn val="ctr"/>
        <c:lblOffset val="100"/>
        <c:noMultiLvlLbl val="0"/>
      </c:catAx>
      <c:valAx>
        <c:axId val="164749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9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[Ecommerce_Product_Analytics.xlsx]pivot5!PivotTable5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pivot5!$B$3</c:f>
              <c:strCache>
                <c:ptCount val="1"/>
                <c:pt idx="0">
                  <c:v>Sum of revenue</c:v>
                </c:pt>
              </c:strCache>
            </c:strRef>
          </c:tx>
          <c:spPr>
            <a:solidFill>
              <a:schemeClr val="accent1"/>
            </a:solidFill>
            <a:ln>
              <a:noFill/>
            </a:ln>
            <a:effectLst/>
          </c:spPr>
          <c:invertIfNegative val="0"/>
          <c:cat>
            <c:strRef>
              <c:f>pivot5!$A$4:$A$8</c:f>
              <c:strCache>
                <c:ptCount val="4"/>
                <c:pt idx="0">
                  <c:v>Electronics</c:v>
                </c:pt>
                <c:pt idx="1">
                  <c:v>Home &amp; Kitchen</c:v>
                </c:pt>
                <c:pt idx="2">
                  <c:v>Fashion</c:v>
                </c:pt>
                <c:pt idx="3">
                  <c:v>Accessories</c:v>
                </c:pt>
              </c:strCache>
            </c:strRef>
          </c:cat>
          <c:val>
            <c:numRef>
              <c:f>pivot5!$B$4:$B$8</c:f>
              <c:numCache>
                <c:formatCode>General</c:formatCode>
                <c:ptCount val="4"/>
                <c:pt idx="0">
                  <c:v>601744.89999999967</c:v>
                </c:pt>
                <c:pt idx="1">
                  <c:v>481531.8499999998</c:v>
                </c:pt>
                <c:pt idx="2">
                  <c:v>433758.04999999976</c:v>
                </c:pt>
                <c:pt idx="3">
                  <c:v>163337.35000000003</c:v>
                </c:pt>
              </c:numCache>
            </c:numRef>
          </c:val>
          <c:extLst>
            <c:ext xmlns:c16="http://schemas.microsoft.com/office/drawing/2014/chart" uri="{C3380CC4-5D6E-409C-BE32-E72D297353CC}">
              <c16:uniqueId val="{00000000-DC9A-4DEC-8724-EFFD32575023}"/>
            </c:ext>
          </c:extLst>
        </c:ser>
        <c:ser>
          <c:idx val="1"/>
          <c:order val="1"/>
          <c:tx>
            <c:strRef>
              <c:f>pivot5!$C$3</c:f>
              <c:strCache>
                <c:ptCount val="1"/>
                <c:pt idx="0">
                  <c:v>Count of Order ID</c:v>
                </c:pt>
              </c:strCache>
            </c:strRef>
          </c:tx>
          <c:spPr>
            <a:solidFill>
              <a:schemeClr val="accent2"/>
            </a:solidFill>
            <a:ln>
              <a:noFill/>
            </a:ln>
            <a:effectLst/>
          </c:spPr>
          <c:invertIfNegative val="0"/>
          <c:cat>
            <c:strRef>
              <c:f>pivot5!$A$4:$A$8</c:f>
              <c:strCache>
                <c:ptCount val="4"/>
                <c:pt idx="0">
                  <c:v>Electronics</c:v>
                </c:pt>
                <c:pt idx="1">
                  <c:v>Home &amp; Kitchen</c:v>
                </c:pt>
                <c:pt idx="2">
                  <c:v>Fashion</c:v>
                </c:pt>
                <c:pt idx="3">
                  <c:v>Accessories</c:v>
                </c:pt>
              </c:strCache>
            </c:strRef>
          </c:cat>
          <c:val>
            <c:numRef>
              <c:f>pivot5!$C$4:$C$8</c:f>
              <c:numCache>
                <c:formatCode>General</c:formatCode>
                <c:ptCount val="4"/>
                <c:pt idx="0">
                  <c:v>132</c:v>
                </c:pt>
                <c:pt idx="1">
                  <c:v>131</c:v>
                </c:pt>
                <c:pt idx="2">
                  <c:v>129</c:v>
                </c:pt>
                <c:pt idx="3">
                  <c:v>108</c:v>
                </c:pt>
              </c:numCache>
            </c:numRef>
          </c:val>
          <c:extLst>
            <c:ext xmlns:c16="http://schemas.microsoft.com/office/drawing/2014/chart" uri="{C3380CC4-5D6E-409C-BE32-E72D297353CC}">
              <c16:uniqueId val="{00000001-DC9A-4DEC-8724-EFFD32575023}"/>
            </c:ext>
          </c:extLst>
        </c:ser>
        <c:ser>
          <c:idx val="2"/>
          <c:order val="2"/>
          <c:tx>
            <c:strRef>
              <c:f>pivot5!$D$3</c:f>
              <c:strCache>
                <c:ptCount val="1"/>
                <c:pt idx="0">
                  <c:v>Sum of profit</c:v>
                </c:pt>
              </c:strCache>
            </c:strRef>
          </c:tx>
          <c:spPr>
            <a:solidFill>
              <a:schemeClr val="accent3"/>
            </a:solidFill>
            <a:ln>
              <a:noFill/>
            </a:ln>
            <a:effectLst/>
          </c:spPr>
          <c:invertIfNegative val="0"/>
          <c:cat>
            <c:strRef>
              <c:f>pivot5!$A$4:$A$8</c:f>
              <c:strCache>
                <c:ptCount val="4"/>
                <c:pt idx="0">
                  <c:v>Electronics</c:v>
                </c:pt>
                <c:pt idx="1">
                  <c:v>Home &amp; Kitchen</c:v>
                </c:pt>
                <c:pt idx="2">
                  <c:v>Fashion</c:v>
                </c:pt>
                <c:pt idx="3">
                  <c:v>Accessories</c:v>
                </c:pt>
              </c:strCache>
            </c:strRef>
          </c:cat>
          <c:val>
            <c:numRef>
              <c:f>pivot5!$D$4:$D$8</c:f>
              <c:numCache>
                <c:formatCode>General</c:formatCode>
                <c:ptCount val="4"/>
                <c:pt idx="0">
                  <c:v>190944.90000000002</c:v>
                </c:pt>
                <c:pt idx="1">
                  <c:v>171931.85000000003</c:v>
                </c:pt>
                <c:pt idx="2">
                  <c:v>165108.05000000005</c:v>
                </c:pt>
                <c:pt idx="3">
                  <c:v>69167.349999999991</c:v>
                </c:pt>
              </c:numCache>
            </c:numRef>
          </c:val>
          <c:extLst>
            <c:ext xmlns:c16="http://schemas.microsoft.com/office/drawing/2014/chart" uri="{C3380CC4-5D6E-409C-BE32-E72D297353CC}">
              <c16:uniqueId val="{000000FE-E1F1-4364-8846-73009782DDE1}"/>
            </c:ext>
          </c:extLst>
        </c:ser>
        <c:ser>
          <c:idx val="3"/>
          <c:order val="3"/>
          <c:tx>
            <c:strRef>
              <c:f>pivot5!$E$3</c:f>
              <c:strCache>
                <c:ptCount val="1"/>
                <c:pt idx="0">
                  <c:v>Average of profit margin</c:v>
                </c:pt>
              </c:strCache>
            </c:strRef>
          </c:tx>
          <c:spPr>
            <a:solidFill>
              <a:schemeClr val="accent4"/>
            </a:solidFill>
            <a:ln>
              <a:noFill/>
            </a:ln>
            <a:effectLst/>
          </c:spPr>
          <c:invertIfNegative val="0"/>
          <c:cat>
            <c:strRef>
              <c:f>pivot5!$A$4:$A$8</c:f>
              <c:strCache>
                <c:ptCount val="4"/>
                <c:pt idx="0">
                  <c:v>Electronics</c:v>
                </c:pt>
                <c:pt idx="1">
                  <c:v>Home &amp; Kitchen</c:v>
                </c:pt>
                <c:pt idx="2">
                  <c:v>Fashion</c:v>
                </c:pt>
                <c:pt idx="3">
                  <c:v>Accessories</c:v>
                </c:pt>
              </c:strCache>
            </c:strRef>
          </c:cat>
          <c:val>
            <c:numRef>
              <c:f>pivot5!$E$4:$E$8</c:f>
              <c:numCache>
                <c:formatCode>0%</c:formatCode>
                <c:ptCount val="4"/>
                <c:pt idx="0">
                  <c:v>0.31713376997673276</c:v>
                </c:pt>
                <c:pt idx="1">
                  <c:v>0.39487963353651961</c:v>
                </c:pt>
                <c:pt idx="2">
                  <c:v>0.39007879624785424</c:v>
                </c:pt>
                <c:pt idx="3">
                  <c:v>0.45383586435015233</c:v>
                </c:pt>
              </c:numCache>
            </c:numRef>
          </c:val>
          <c:extLst>
            <c:ext xmlns:c16="http://schemas.microsoft.com/office/drawing/2014/chart" uri="{C3380CC4-5D6E-409C-BE32-E72D297353CC}">
              <c16:uniqueId val="{000001FA-E1F1-4364-8846-73009782DDE1}"/>
            </c:ext>
          </c:extLst>
        </c:ser>
        <c:dLbls>
          <c:showLegendKey val="0"/>
          <c:showVal val="0"/>
          <c:showCatName val="0"/>
          <c:showSerName val="0"/>
          <c:showPercent val="0"/>
          <c:showBubbleSize val="0"/>
        </c:dLbls>
        <c:gapWidth val="219"/>
        <c:overlap val="-27"/>
        <c:axId val="1587582592"/>
        <c:axId val="1587583008"/>
      </c:barChart>
      <c:catAx>
        <c:axId val="158758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583008"/>
        <c:crosses val="autoZero"/>
        <c:auto val="1"/>
        <c:lblAlgn val="ctr"/>
        <c:lblOffset val="100"/>
        <c:noMultiLvlLbl val="0"/>
      </c:catAx>
      <c:valAx>
        <c:axId val="1587583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582592"/>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[Ecommerce_Product_Analytics.xlsx]pivot3!PivotTable4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Sum of revenue</c:v>
                </c:pt>
              </c:strCache>
            </c:strRef>
          </c:tx>
          <c:spPr>
            <a:solidFill>
              <a:schemeClr val="accent1"/>
            </a:solidFill>
            <a:ln>
              <a:noFill/>
            </a:ln>
            <a:effectLst/>
          </c:spPr>
          <c:invertIfNegative val="0"/>
          <c:cat>
            <c:strRef>
              <c:f>pivot3!$A$4:$A$8</c:f>
              <c:strCache>
                <c:ptCount val="4"/>
                <c:pt idx="0">
                  <c:v>North</c:v>
                </c:pt>
                <c:pt idx="1">
                  <c:v>South</c:v>
                </c:pt>
                <c:pt idx="2">
                  <c:v>West</c:v>
                </c:pt>
                <c:pt idx="3">
                  <c:v>East</c:v>
                </c:pt>
              </c:strCache>
            </c:strRef>
          </c:cat>
          <c:val>
            <c:numRef>
              <c:f>pivot3!$B$4:$B$8</c:f>
              <c:numCache>
                <c:formatCode>General</c:formatCode>
                <c:ptCount val="4"/>
                <c:pt idx="0">
                  <c:v>480992.34999999963</c:v>
                </c:pt>
                <c:pt idx="1">
                  <c:v>416117.84999999969</c:v>
                </c:pt>
                <c:pt idx="2">
                  <c:v>398502.89999999979</c:v>
                </c:pt>
                <c:pt idx="3">
                  <c:v>384759.05000000005</c:v>
                </c:pt>
              </c:numCache>
            </c:numRef>
          </c:val>
          <c:extLst>
            <c:ext xmlns:c16="http://schemas.microsoft.com/office/drawing/2014/chart" uri="{C3380CC4-5D6E-409C-BE32-E72D297353CC}">
              <c16:uniqueId val="{00000000-1CA1-4A12-9224-D581F3E08146}"/>
            </c:ext>
          </c:extLst>
        </c:ser>
        <c:ser>
          <c:idx val="1"/>
          <c:order val="1"/>
          <c:tx>
            <c:strRef>
              <c:f>pivot3!$C$3</c:f>
              <c:strCache>
                <c:ptCount val="1"/>
                <c:pt idx="0">
                  <c:v>Sum of profit</c:v>
                </c:pt>
              </c:strCache>
            </c:strRef>
          </c:tx>
          <c:spPr>
            <a:solidFill>
              <a:schemeClr val="accent2"/>
            </a:solidFill>
            <a:ln>
              <a:noFill/>
            </a:ln>
            <a:effectLst/>
          </c:spPr>
          <c:invertIfNegative val="0"/>
          <c:cat>
            <c:strRef>
              <c:f>pivot3!$A$4:$A$8</c:f>
              <c:strCache>
                <c:ptCount val="4"/>
                <c:pt idx="0">
                  <c:v>North</c:v>
                </c:pt>
                <c:pt idx="1">
                  <c:v>South</c:v>
                </c:pt>
                <c:pt idx="2">
                  <c:v>West</c:v>
                </c:pt>
                <c:pt idx="3">
                  <c:v>East</c:v>
                </c:pt>
              </c:strCache>
            </c:strRef>
          </c:cat>
          <c:val>
            <c:numRef>
              <c:f>pivot3!$C$4:$C$8</c:f>
              <c:numCache>
                <c:formatCode>General</c:formatCode>
                <c:ptCount val="4"/>
                <c:pt idx="0">
                  <c:v>168022.35000000006</c:v>
                </c:pt>
                <c:pt idx="1">
                  <c:v>146957.85000000003</c:v>
                </c:pt>
                <c:pt idx="2">
                  <c:v>145472.90000000011</c:v>
                </c:pt>
                <c:pt idx="3">
                  <c:v>136699.05000000002</c:v>
                </c:pt>
              </c:numCache>
            </c:numRef>
          </c:val>
          <c:extLst>
            <c:ext xmlns:c16="http://schemas.microsoft.com/office/drawing/2014/chart" uri="{C3380CC4-5D6E-409C-BE32-E72D297353CC}">
              <c16:uniqueId val="{00000001-1CA1-4A12-9224-D581F3E08146}"/>
            </c:ext>
          </c:extLst>
        </c:ser>
        <c:dLbls>
          <c:showLegendKey val="0"/>
          <c:showVal val="0"/>
          <c:showCatName val="0"/>
          <c:showSerName val="0"/>
          <c:showPercent val="0"/>
          <c:showBubbleSize val="0"/>
        </c:dLbls>
        <c:gapWidth val="219"/>
        <c:overlap val="-27"/>
        <c:axId val="1587595072"/>
        <c:axId val="1587595488"/>
      </c:barChart>
      <c:catAx>
        <c:axId val="158759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595488"/>
        <c:crosses val="autoZero"/>
        <c:auto val="1"/>
        <c:lblAlgn val="ctr"/>
        <c:lblOffset val="100"/>
        <c:noMultiLvlLbl val="0"/>
      </c:catAx>
      <c:valAx>
        <c:axId val="158759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59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[Ecommerce_Product_Analytics.xlsx]pivot1!PivotTable2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Sum of revenue</c:v>
                </c:pt>
              </c:strCache>
            </c:strRef>
          </c:tx>
          <c:spPr>
            <a:solidFill>
              <a:schemeClr val="accent1"/>
            </a:solidFill>
            <a:ln>
              <a:noFill/>
            </a:ln>
            <a:effectLst/>
          </c:spPr>
          <c:invertIfNegative val="0"/>
          <c:cat>
            <c:strRef>
              <c:f>pivot1!$A$4:$A$16</c:f>
              <c:strCache>
                <c:ptCount val="12"/>
                <c:pt idx="0">
                  <c:v>Running Shoes</c:v>
                </c:pt>
                <c:pt idx="1">
                  <c:v>Coffee Maker</c:v>
                </c:pt>
                <c:pt idx="2">
                  <c:v>Bluetooth Speaker</c:v>
                </c:pt>
                <c:pt idx="3">
                  <c:v>Smart Watch</c:v>
                </c:pt>
                <c:pt idx="4">
                  <c:v>Desk Lamp</c:v>
                </c:pt>
                <c:pt idx="5">
                  <c:v>Jeans</c:v>
                </c:pt>
                <c:pt idx="6">
                  <c:v>Wireless Earbuds</c:v>
                </c:pt>
                <c:pt idx="7">
                  <c:v>Laptop Backpack</c:v>
                </c:pt>
                <c:pt idx="8">
                  <c:v>Water Bottle</c:v>
                </c:pt>
                <c:pt idx="9">
                  <c:v>Casual T-Shirt</c:v>
                </c:pt>
                <c:pt idx="10">
                  <c:v>Phone Case</c:v>
                </c:pt>
                <c:pt idx="11">
                  <c:v>USB-C Cable</c:v>
                </c:pt>
              </c:strCache>
            </c:strRef>
          </c:cat>
          <c:val>
            <c:numRef>
              <c:f>pivot1!$B$4:$B$16</c:f>
              <c:numCache>
                <c:formatCode>General</c:formatCode>
                <c:ptCount val="12"/>
                <c:pt idx="0">
                  <c:v>256864.35000000003</c:v>
                </c:pt>
                <c:pt idx="1">
                  <c:v>289927.50000000006</c:v>
                </c:pt>
                <c:pt idx="2">
                  <c:v>267393</c:v>
                </c:pt>
                <c:pt idx="3">
                  <c:v>205916.15000000005</c:v>
                </c:pt>
                <c:pt idx="4">
                  <c:v>135434.65</c:v>
                </c:pt>
                <c:pt idx="5">
                  <c:v>114056.60000000002</c:v>
                </c:pt>
                <c:pt idx="6">
                  <c:v>128435.75000000004</c:v>
                </c:pt>
                <c:pt idx="7">
                  <c:v>107232.45000000001</c:v>
                </c:pt>
                <c:pt idx="8">
                  <c:v>56169.700000000004</c:v>
                </c:pt>
                <c:pt idx="9">
                  <c:v>62837.1</c:v>
                </c:pt>
                <c:pt idx="10">
                  <c:v>30489.1</c:v>
                </c:pt>
                <c:pt idx="11">
                  <c:v>25615.799999999996</c:v>
                </c:pt>
              </c:numCache>
            </c:numRef>
          </c:val>
          <c:extLst>
            <c:ext xmlns:c16="http://schemas.microsoft.com/office/drawing/2014/chart" uri="{C3380CC4-5D6E-409C-BE32-E72D297353CC}">
              <c16:uniqueId val="{00000000-24BF-4B8A-8A9A-3ABA658D3BF4}"/>
            </c:ext>
          </c:extLst>
        </c:ser>
        <c:ser>
          <c:idx val="1"/>
          <c:order val="1"/>
          <c:tx>
            <c:strRef>
              <c:f>pivot1!$C$3</c:f>
              <c:strCache>
                <c:ptCount val="1"/>
                <c:pt idx="0">
                  <c:v>Sum of profit</c:v>
                </c:pt>
              </c:strCache>
            </c:strRef>
          </c:tx>
          <c:spPr>
            <a:solidFill>
              <a:schemeClr val="accent2"/>
            </a:solidFill>
            <a:ln>
              <a:noFill/>
            </a:ln>
            <a:effectLst/>
          </c:spPr>
          <c:invertIfNegative val="0"/>
          <c:cat>
            <c:strRef>
              <c:f>pivot1!$A$4:$A$16</c:f>
              <c:strCache>
                <c:ptCount val="12"/>
                <c:pt idx="0">
                  <c:v>Running Shoes</c:v>
                </c:pt>
                <c:pt idx="1">
                  <c:v>Coffee Maker</c:v>
                </c:pt>
                <c:pt idx="2">
                  <c:v>Bluetooth Speaker</c:v>
                </c:pt>
                <c:pt idx="3">
                  <c:v>Smart Watch</c:v>
                </c:pt>
                <c:pt idx="4">
                  <c:v>Desk Lamp</c:v>
                </c:pt>
                <c:pt idx="5">
                  <c:v>Jeans</c:v>
                </c:pt>
                <c:pt idx="6">
                  <c:v>Wireless Earbuds</c:v>
                </c:pt>
                <c:pt idx="7">
                  <c:v>Laptop Backpack</c:v>
                </c:pt>
                <c:pt idx="8">
                  <c:v>Water Bottle</c:v>
                </c:pt>
                <c:pt idx="9">
                  <c:v>Casual T-Shirt</c:v>
                </c:pt>
                <c:pt idx="10">
                  <c:v>Phone Case</c:v>
                </c:pt>
                <c:pt idx="11">
                  <c:v>USB-C Cable</c:v>
                </c:pt>
              </c:strCache>
            </c:strRef>
          </c:cat>
          <c:val>
            <c:numRef>
              <c:f>pivot1!$C$4:$C$16</c:f>
              <c:numCache>
                <c:formatCode>General</c:formatCode>
                <c:ptCount val="12"/>
                <c:pt idx="0">
                  <c:v>93064.349999999991</c:v>
                </c:pt>
                <c:pt idx="1">
                  <c:v>87127.500000000015</c:v>
                </c:pt>
                <c:pt idx="2">
                  <c:v>86592.999999999985</c:v>
                </c:pt>
                <c:pt idx="3">
                  <c:v>58716.149999999994</c:v>
                </c:pt>
                <c:pt idx="4">
                  <c:v>58634.65</c:v>
                </c:pt>
                <c:pt idx="5">
                  <c:v>46056.599999999991</c:v>
                </c:pt>
                <c:pt idx="6">
                  <c:v>45635.749999999993</c:v>
                </c:pt>
                <c:pt idx="7">
                  <c:v>41982.45</c:v>
                </c:pt>
                <c:pt idx="8">
                  <c:v>26169.69999999999</c:v>
                </c:pt>
                <c:pt idx="9">
                  <c:v>25987.099999999991</c:v>
                </c:pt>
                <c:pt idx="10">
                  <c:v>13989.100000000002</c:v>
                </c:pt>
                <c:pt idx="11">
                  <c:v>13195.799999999996</c:v>
                </c:pt>
              </c:numCache>
            </c:numRef>
          </c:val>
          <c:extLst>
            <c:ext xmlns:c16="http://schemas.microsoft.com/office/drawing/2014/chart" uri="{C3380CC4-5D6E-409C-BE32-E72D297353CC}">
              <c16:uniqueId val="{00000001-24BF-4B8A-8A9A-3ABA658D3BF4}"/>
            </c:ext>
          </c:extLst>
        </c:ser>
        <c:dLbls>
          <c:showLegendKey val="0"/>
          <c:showVal val="0"/>
          <c:showCatName val="0"/>
          <c:showSerName val="0"/>
          <c:showPercent val="0"/>
          <c:showBubbleSize val="0"/>
        </c:dLbls>
        <c:gapWidth val="219"/>
        <c:overlap val="-27"/>
        <c:axId val="1649509952"/>
        <c:axId val="1649496640"/>
      </c:barChart>
      <c:catAx>
        <c:axId val="164950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496640"/>
        <c:crosses val="autoZero"/>
        <c:auto val="1"/>
        <c:lblAlgn val="ctr"/>
        <c:lblOffset val="100"/>
        <c:noMultiLvlLbl val="0"/>
      </c:catAx>
      <c:valAx>
        <c:axId val="1649496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09952"/>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[Ecommerce_Product_Analytics.xlsx]pivot4!PivotTable6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pivot4!$B$3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4-4AE2-9FE7-775C73626A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4-4AE2-9FE7-775C73626A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A4-4AE2-9FE7-775C73626A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A4-4AE2-9FE7-775C73626A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A4-4AE2-9FE7-775C73626A24}"/>
              </c:ext>
            </c:extLst>
          </c:dPt>
          <c:cat>
            <c:strRef>
              <c:f>pivot4!$A$4:$A$9</c:f>
              <c:strCache>
                <c:ptCount val="5"/>
                <c:pt idx="0">
                  <c:v>UPI</c:v>
                </c:pt>
                <c:pt idx="1">
                  <c:v>Net Banking</c:v>
                </c:pt>
                <c:pt idx="2">
                  <c:v>Cash on Delivery</c:v>
                </c:pt>
                <c:pt idx="3">
                  <c:v>Debit Card</c:v>
                </c:pt>
                <c:pt idx="4">
                  <c:v>Credit Card</c:v>
                </c:pt>
              </c:strCache>
            </c:strRef>
          </c:cat>
          <c:val>
            <c:numRef>
              <c:f>pivot4!$B$4:$B$9</c:f>
              <c:numCache>
                <c:formatCode>General</c:formatCode>
                <c:ptCount val="5"/>
                <c:pt idx="0">
                  <c:v>101</c:v>
                </c:pt>
                <c:pt idx="1">
                  <c:v>104</c:v>
                </c:pt>
                <c:pt idx="2">
                  <c:v>86</c:v>
                </c:pt>
                <c:pt idx="3">
                  <c:v>108</c:v>
                </c:pt>
                <c:pt idx="4">
                  <c:v>101</c:v>
                </c:pt>
              </c:numCache>
            </c:numRef>
          </c:val>
          <c:extLst>
            <c:ext xmlns:c16="http://schemas.microsoft.com/office/drawing/2014/chart" uri="{C3380CC4-5D6E-409C-BE32-E72D297353CC}">
              <c16:uniqueId val="{0000000A-7EA4-4AE2-9FE7-775C73626A24}"/>
            </c:ext>
          </c:extLst>
        </c:ser>
        <c:ser>
          <c:idx val="1"/>
          <c:order val="1"/>
          <c:tx>
            <c:strRef>
              <c:f>pivot4!$C$3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7EA4-4AE2-9FE7-775C73626A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7EA4-4AE2-9FE7-775C73626A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7EA4-4AE2-9FE7-775C73626A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7EA4-4AE2-9FE7-775C73626A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7EA4-4AE2-9FE7-775C73626A24}"/>
              </c:ext>
            </c:extLst>
          </c:dPt>
          <c:cat>
            <c:strRef>
              <c:f>pivot4!$A$4:$A$9</c:f>
              <c:strCache>
                <c:ptCount val="5"/>
                <c:pt idx="0">
                  <c:v>UPI</c:v>
                </c:pt>
                <c:pt idx="1">
                  <c:v>Net Banking</c:v>
                </c:pt>
                <c:pt idx="2">
                  <c:v>Cash on Delivery</c:v>
                </c:pt>
                <c:pt idx="3">
                  <c:v>Debit Card</c:v>
                </c:pt>
                <c:pt idx="4">
                  <c:v>Credit Card</c:v>
                </c:pt>
              </c:strCache>
            </c:strRef>
          </c:cat>
          <c:val>
            <c:numRef>
              <c:f>pivot4!$C$4:$C$9</c:f>
              <c:numCache>
                <c:formatCode>General</c:formatCode>
                <c:ptCount val="5"/>
                <c:pt idx="0">
                  <c:v>358663.14999999991</c:v>
                </c:pt>
                <c:pt idx="1">
                  <c:v>338570.9499999999</c:v>
                </c:pt>
                <c:pt idx="2">
                  <c:v>331599.49999999994</c:v>
                </c:pt>
                <c:pt idx="3">
                  <c:v>326539.15000000002</c:v>
                </c:pt>
                <c:pt idx="4">
                  <c:v>324999.39999999991</c:v>
                </c:pt>
              </c:numCache>
            </c:numRef>
          </c:val>
          <c:extLst>
            <c:ext xmlns:c16="http://schemas.microsoft.com/office/drawing/2014/chart" uri="{C3380CC4-5D6E-409C-BE32-E72D297353CC}">
              <c16:uniqueId val="{00000015-7EA4-4AE2-9FE7-775C73626A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68036</xdr:rowOff>
    </xdr:from>
    <xdr:to>
      <xdr:col>5</xdr:col>
      <xdr:colOff>605117</xdr:colOff>
      <xdr:row>17</xdr:row>
      <xdr:rowOff>90448</xdr:rowOff>
    </xdr:to>
    <xdr:graphicFrame macro="">
      <xdr:nvGraphicFramePr>
        <xdr:cNvPr id="2" name="Chart 1">
          <a:extLst>
            <a:ext uri="{FF2B5EF4-FFF2-40B4-BE49-F238E27FC236}">
              <a16:creationId xmlns:a16="http://schemas.microsoft.com/office/drawing/2014/main" id="{5A4BA328-A2BA-4E6D-8425-1674495F2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666750</xdr:colOff>
      <xdr:row>4</xdr:row>
      <xdr:rowOff>11206</xdr:rowOff>
    </xdr:from>
    <xdr:to>
      <xdr:col>14</xdr:col>
      <xdr:colOff>593912</xdr:colOff>
      <xdr:row>17</xdr:row>
      <xdr:rowOff>36420</xdr:rowOff>
    </xdr:to>
    <xdr:graphicFrame macro="">
      <xdr:nvGraphicFramePr>
        <xdr:cNvPr id="3" name="Chart 2">
          <a:extLst>
            <a:ext uri="{FF2B5EF4-FFF2-40B4-BE49-F238E27FC236}">
              <a16:creationId xmlns:a16="http://schemas.microsoft.com/office/drawing/2014/main" id="{5CE301F9-9751-48EF-8230-E51C76DAA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22411</xdr:colOff>
      <xdr:row>18</xdr:row>
      <xdr:rowOff>179294</xdr:rowOff>
    </xdr:from>
    <xdr:to>
      <xdr:col>5</xdr:col>
      <xdr:colOff>593912</xdr:colOff>
      <xdr:row>33</xdr:row>
      <xdr:rowOff>64994</xdr:rowOff>
    </xdr:to>
    <xdr:graphicFrame macro="">
      <xdr:nvGraphicFramePr>
        <xdr:cNvPr id="4" name="Chart 3">
          <a:extLst>
            <a:ext uri="{FF2B5EF4-FFF2-40B4-BE49-F238E27FC236}">
              <a16:creationId xmlns:a16="http://schemas.microsoft.com/office/drawing/2014/main" id="{6B136891-5A07-4268-9713-15F016044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734786</xdr:colOff>
      <xdr:row>19</xdr:row>
      <xdr:rowOff>0</xdr:rowOff>
    </xdr:from>
    <xdr:to>
      <xdr:col>15</xdr:col>
      <xdr:colOff>22411</xdr:colOff>
      <xdr:row>33</xdr:row>
      <xdr:rowOff>76200</xdr:rowOff>
    </xdr:to>
    <xdr:graphicFrame macro="">
      <xdr:nvGraphicFramePr>
        <xdr:cNvPr id="5" name="Chart 4">
          <a:extLst>
            <a:ext uri="{FF2B5EF4-FFF2-40B4-BE49-F238E27FC236}">
              <a16:creationId xmlns:a16="http://schemas.microsoft.com/office/drawing/2014/main" id="{1E038E3E-90B6-4C17-AAE0-F82B23F7E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299357</xdr:colOff>
      <xdr:row>34</xdr:row>
      <xdr:rowOff>179293</xdr:rowOff>
    </xdr:from>
    <xdr:to>
      <xdr:col>10</xdr:col>
      <xdr:colOff>257736</xdr:colOff>
      <xdr:row>49</xdr:row>
      <xdr:rowOff>109817</xdr:rowOff>
    </xdr:to>
    <xdr:graphicFrame macro="">
      <xdr:nvGraphicFramePr>
        <xdr:cNvPr id="6" name="Chart 5">
          <a:extLst>
            <a:ext uri="{FF2B5EF4-FFF2-40B4-BE49-F238E27FC236}">
              <a16:creationId xmlns:a16="http://schemas.microsoft.com/office/drawing/2014/main" id="{2352D005-AD57-4DB3-BD12-2589DE894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487137</xdr:colOff>
      <xdr:row>4</xdr:row>
      <xdr:rowOff>157844</xdr:rowOff>
    </xdr:from>
    <xdr:to>
      <xdr:col>17</xdr:col>
      <xdr:colOff>367393</xdr:colOff>
      <xdr:row>13</xdr:row>
      <xdr:rowOff>136072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8007810-D302-402F-9B97-6CE3D3D06F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64887" y="1110344"/>
              <a:ext cx="1104899" cy="1692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133350</xdr:colOff>
      <xdr:row>4</xdr:row>
      <xdr:rowOff>117022</xdr:rowOff>
    </xdr:from>
    <xdr:to>
      <xdr:col>20</xdr:col>
      <xdr:colOff>27214</xdr:colOff>
      <xdr:row>13</xdr:row>
      <xdr:rowOff>108857</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B02A1C0-EC08-4F62-A20E-204CA486A7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48064" y="1069522"/>
              <a:ext cx="1118507" cy="1706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269421</xdr:colOff>
      <xdr:row>4</xdr:row>
      <xdr:rowOff>108856</xdr:rowOff>
    </xdr:from>
    <xdr:to>
      <xdr:col>22</xdr:col>
      <xdr:colOff>81643</xdr:colOff>
      <xdr:row>13</xdr:row>
      <xdr:rowOff>81643</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A9C44E4E-593D-4674-A83C-6B16680E1A3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5808778" y="1061356"/>
              <a:ext cx="1036865" cy="1687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GUKT" refreshedDate="46273.893678356479" createdVersion="7" refreshedVersion="7" minRefreshableVersion="3" recordCount="500" xr:uid="{FAF55653-0907-4C75-BEB2-41A4CEE1EA07}">
  <cacheSource type="worksheet">
    <worksheetSource name="salesdata"/>
  </cacheSource>
  <cacheFields count="15">
    <cacheField name="Order ID" numFmtId="0">
      <sharedItems count="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haredItems>
    </cacheField>
    <cacheField name="Order Date" numFmtId="164">
      <sharedItems containsSemiMixedTypes="0" containsNonDate="0" containsDate="1" containsString="0" minDate="2025-01-01T00:00:00" maxDate="2026-01-01T00:00:00" count="278">
        <d v="2025-11-24T00:00:00"/>
        <d v="2025-12-13T00:00:00"/>
        <d v="2025-04-30T00:00:00"/>
        <d v="2025-08-18T00:00:00"/>
        <d v="2025-06-24T00:00:00"/>
        <d v="2025-07-14T00:00:00"/>
        <d v="2025-10-02T00:00:00"/>
        <d v="2025-04-09T00:00:00"/>
        <d v="2025-02-21T00:00:00"/>
        <d v="2025-07-01T00:00:00"/>
        <d v="2025-11-22T00:00:00"/>
        <d v="2025-01-17T00:00:00"/>
        <d v="2025-12-02T00:00:00"/>
        <d v="2025-03-13T00:00:00"/>
        <d v="2025-07-24T00:00:00"/>
        <d v="2025-01-25T00:00:00"/>
        <d v="2025-02-02T00:00:00"/>
        <d v="2025-01-06T00:00:00"/>
        <d v="2025-02-27T00:00:00"/>
        <d v="2025-04-02T00:00:00"/>
        <d v="2025-07-11T00:00:00"/>
        <d v="2025-06-15T00:00:00"/>
        <d v="2025-01-30T00:00:00"/>
        <d v="2025-09-30T00:00:00"/>
        <d v="2025-09-28T00:00:00"/>
        <d v="2025-05-07T00:00:00"/>
        <d v="2025-04-23T00:00:00"/>
        <d v="2025-06-19T00:00:00"/>
        <d v="2025-03-09T00:00:00"/>
        <d v="2025-02-18T00:00:00"/>
        <d v="2025-12-11T00:00:00"/>
        <d v="2025-05-08T00:00:00"/>
        <d v="2025-08-25T00:00:00"/>
        <d v="2025-11-30T00:00:00"/>
        <d v="2025-07-28T00:00:00"/>
        <d v="2025-08-05T00:00:00"/>
        <d v="2025-04-08T00:00:00"/>
        <d v="2025-09-18T00:00:00"/>
        <d v="2025-03-03T00:00:00"/>
        <d v="2025-12-03T00:00:00"/>
        <d v="2025-05-03T00:00:00"/>
        <d v="2025-02-07T00:00:00"/>
        <d v="2025-10-03T00:00:00"/>
        <d v="2025-07-09T00:00:00"/>
        <d v="2025-12-01T00:00:00"/>
        <d v="2025-05-16T00:00:00"/>
        <d v="2025-04-18T00:00:00"/>
        <d v="2025-01-27T00:00:00"/>
        <d v="2025-03-08T00:00:00"/>
        <d v="2025-01-05T00:00:00"/>
        <d v="2025-01-19T00:00:00"/>
        <d v="2025-07-06T00:00:00"/>
        <d v="2025-10-14T00:00:00"/>
        <d v="2025-04-01T00:00:00"/>
        <d v="2025-05-17T00:00:00"/>
        <d v="2025-04-13T00:00:00"/>
        <d v="2025-01-13T00:00:00"/>
        <d v="2025-06-29T00:00:00"/>
        <d v="2025-03-01T00:00:00"/>
        <d v="2025-11-02T00:00:00"/>
        <d v="2025-10-23T00:00:00"/>
        <d v="2025-08-09T00:00:00"/>
        <d v="2025-09-17T00:00:00"/>
        <d v="2025-03-07T00:00:00"/>
        <d v="2025-10-19T00:00:00"/>
        <d v="2025-09-19T00:00:00"/>
        <d v="2025-05-01T00:00:00"/>
        <d v="2025-05-06T00:00:00"/>
        <d v="2025-04-10T00:00:00"/>
        <d v="2025-08-06T00:00:00"/>
        <d v="2025-10-13T00:00:00"/>
        <d v="2025-11-10T00:00:00"/>
        <d v="2025-08-19T00:00:00"/>
        <d v="2025-05-21T00:00:00"/>
        <d v="2025-10-04T00:00:00"/>
        <d v="2025-08-04T00:00:00"/>
        <d v="2025-01-04T00:00:00"/>
        <d v="2025-10-07T00:00:00"/>
        <d v="2025-07-19T00:00:00"/>
        <d v="2025-11-26T00:00:00"/>
        <d v="2025-06-17T00:00:00"/>
        <d v="2025-04-25T00:00:00"/>
        <d v="2025-04-22T00:00:00"/>
        <d v="2025-06-09T00:00:00"/>
        <d v="2025-04-12T00:00:00"/>
        <d v="2025-12-17T00:00:00"/>
        <d v="2025-08-11T00:00:00"/>
        <d v="2025-08-12T00:00:00"/>
        <d v="2025-09-11T00:00:00"/>
        <d v="2025-05-24T00:00:00"/>
        <d v="2025-05-04T00:00:00"/>
        <d v="2025-12-06T00:00:00"/>
        <d v="2025-04-21T00:00:00"/>
        <d v="2025-01-24T00:00:00"/>
        <d v="2025-01-07T00:00:00"/>
        <d v="2025-05-10T00:00:00"/>
        <d v="2025-11-19T00:00:00"/>
        <d v="2025-01-02T00:00:00"/>
        <d v="2025-05-28T00:00:00"/>
        <d v="2025-11-17T00:00:00"/>
        <d v="2025-04-26T00:00:00"/>
        <d v="2025-03-26T00:00:00"/>
        <d v="2025-03-05T00:00:00"/>
        <d v="2025-11-06T00:00:00"/>
        <d v="2025-10-27T00:00:00"/>
        <d v="2025-07-29T00:00:00"/>
        <d v="2025-12-22T00:00:00"/>
        <d v="2025-02-15T00:00:00"/>
        <d v="2025-01-01T00:00:00"/>
        <d v="2025-09-13T00:00:00"/>
        <d v="2025-08-13T00:00:00"/>
        <d v="2025-03-02T00:00:00"/>
        <d v="2025-09-05T00:00:00"/>
        <d v="2025-08-17T00:00:00"/>
        <d v="2025-06-14T00:00:00"/>
        <d v="2025-06-12T00:00:00"/>
        <d v="2025-08-29T00:00:00"/>
        <d v="2025-12-12T00:00:00"/>
        <d v="2025-02-16T00:00:00"/>
        <d v="2025-03-27T00:00:00"/>
        <d v="2025-07-03T00:00:00"/>
        <d v="2025-03-31T00:00:00"/>
        <d v="2025-10-26T00:00:00"/>
        <d v="2025-08-27T00:00:00"/>
        <d v="2025-06-03T00:00:00"/>
        <d v="2025-07-16T00:00:00"/>
        <d v="2025-01-12T00:00:00"/>
        <d v="2025-09-12T00:00:00"/>
        <d v="2025-05-09T00:00:00"/>
        <d v="2025-11-18T00:00:00"/>
        <d v="2025-07-07T00:00:00"/>
        <d v="2025-06-01T00:00:00"/>
        <d v="2025-07-08T00:00:00"/>
        <d v="2025-04-24T00:00:00"/>
        <d v="2025-02-19T00:00:00"/>
        <d v="2025-03-21T00:00:00"/>
        <d v="2025-02-20T00:00:00"/>
        <d v="2025-07-23T00:00:00"/>
        <d v="2025-05-05T00:00:00"/>
        <d v="2025-03-16T00:00:00"/>
        <d v="2025-01-08T00:00:00"/>
        <d v="2025-03-06T00:00:00"/>
        <d v="2025-09-20T00:00:00"/>
        <d v="2025-06-04T00:00:00"/>
        <d v="2025-08-07T00:00:00"/>
        <d v="2025-07-31T00:00:00"/>
        <d v="2025-06-10T00:00:00"/>
        <d v="2025-10-12T00:00:00"/>
        <d v="2025-02-25T00:00:00"/>
        <d v="2025-10-15T00:00:00"/>
        <d v="2025-04-03T00:00:00"/>
        <d v="2025-09-29T00:00:00"/>
        <d v="2025-06-16T00:00:00"/>
        <d v="2025-01-26T00:00:00"/>
        <d v="2025-08-15T00:00:00"/>
        <d v="2025-02-26T00:00:00"/>
        <d v="2025-05-11T00:00:00"/>
        <d v="2025-08-08T00:00:00"/>
        <d v="2025-01-11T00:00:00"/>
        <d v="2025-06-08T00:00:00"/>
        <d v="2025-02-22T00:00:00"/>
        <d v="2025-08-14T00:00:00"/>
        <d v="2025-01-29T00:00:00"/>
        <d v="2025-11-01T00:00:00"/>
        <d v="2025-10-20T00:00:00"/>
        <d v="2025-05-25T00:00:00"/>
        <d v="2025-02-03T00:00:00"/>
        <d v="2025-03-18T00:00:00"/>
        <d v="2025-09-06T00:00:00"/>
        <d v="2025-01-23T00:00:00"/>
        <d v="2025-05-26T00:00:00"/>
        <d v="2025-09-15T00:00:00"/>
        <d v="2025-07-22T00:00:00"/>
        <d v="2025-01-15T00:00:00"/>
        <d v="2025-01-20T00:00:00"/>
        <d v="2025-11-12T00:00:00"/>
        <d v="2025-11-08T00:00:00"/>
        <d v="2025-05-30T00:00:00"/>
        <d v="2025-12-07T00:00:00"/>
        <d v="2025-02-04T00:00:00"/>
        <d v="2025-11-20T00:00:00"/>
        <d v="2025-05-31T00:00:00"/>
        <d v="2025-09-21T00:00:00"/>
        <d v="2025-07-02T00:00:00"/>
        <d v="2025-09-23T00:00:00"/>
        <d v="2025-11-05T00:00:00"/>
        <d v="2025-11-11T00:00:00"/>
        <d v="2025-12-10T00:00:00"/>
        <d v="2025-03-15T00:00:00"/>
        <d v="2025-11-27T00:00:00"/>
        <d v="2025-12-08T00:00:00"/>
        <d v="2025-12-31T00:00:00"/>
        <d v="2025-10-10T00:00:00"/>
        <d v="2025-09-27T00:00:00"/>
        <d v="2025-08-10T00:00:00"/>
        <d v="2025-03-24T00:00:00"/>
        <d v="2025-10-01T00:00:00"/>
        <d v="2025-12-04T00:00:00"/>
        <d v="2025-02-11T00:00:00"/>
        <d v="2025-08-02T00:00:00"/>
        <d v="2025-06-13T00:00:00"/>
        <d v="2025-05-29T00:00:00"/>
        <d v="2025-06-07T00:00:00"/>
        <d v="2025-12-15T00:00:00"/>
        <d v="2025-11-07T00:00:00"/>
        <d v="2025-12-27T00:00:00"/>
        <d v="2025-12-23T00:00:00"/>
        <d v="2025-05-27T00:00:00"/>
        <d v="2025-06-02T00:00:00"/>
        <d v="2025-11-25T00:00:00"/>
        <d v="2025-03-23T00:00:00"/>
        <d v="2025-03-20T00:00:00"/>
        <d v="2025-10-08T00:00:00"/>
        <d v="2025-10-24T00:00:00"/>
        <d v="2025-08-30T00:00:00"/>
        <d v="2025-07-15T00:00:00"/>
        <d v="2025-12-05T00:00:00"/>
        <d v="2025-04-16T00:00:00"/>
        <d v="2025-11-03T00:00:00"/>
        <d v="2025-08-31T00:00:00"/>
        <d v="2025-04-15T00:00:00"/>
        <d v="2025-04-07T00:00:00"/>
        <d v="2025-06-05T00:00:00"/>
        <d v="2025-07-04T00:00:00"/>
        <d v="2025-01-09T00:00:00"/>
        <d v="2025-10-09T00:00:00"/>
        <d v="2025-08-24T00:00:00"/>
        <d v="2025-10-05T00:00:00"/>
        <d v="2025-07-27T00:00:00"/>
        <d v="2025-02-12T00:00:00"/>
        <d v="2025-01-22T00:00:00"/>
        <d v="2025-06-11T00:00:00"/>
        <d v="2025-06-27T00:00:00"/>
        <d v="2025-09-09T00:00:00"/>
        <d v="2025-05-19T00:00:00"/>
        <d v="2025-01-14T00:00:00"/>
        <d v="2025-09-24T00:00:00"/>
        <d v="2025-09-10T00:00:00"/>
        <d v="2025-02-09T00:00:00"/>
        <d v="2025-11-14T00:00:00"/>
        <d v="2025-07-12T00:00:00"/>
        <d v="2025-03-14T00:00:00"/>
        <d v="2025-09-01T00:00:00"/>
        <d v="2025-09-22T00:00:00"/>
        <d v="2025-05-23T00:00:00"/>
        <d v="2025-06-30T00:00:00"/>
        <d v="2025-10-30T00:00:00"/>
        <d v="2025-04-04T00:00:00"/>
        <d v="2025-01-28T00:00:00"/>
        <d v="2025-09-16T00:00:00"/>
        <d v="2025-05-02T00:00:00"/>
        <d v="2025-10-21T00:00:00"/>
        <d v="2025-07-30T00:00:00"/>
        <d v="2025-07-26T00:00:00"/>
        <d v="2025-09-07T00:00:00"/>
        <d v="2025-08-22T00:00:00"/>
        <d v="2025-10-31T00:00:00"/>
        <d v="2025-02-05T00:00:00"/>
        <d v="2025-04-20T00:00:00"/>
        <d v="2025-02-14T00:00:00"/>
        <d v="2025-11-04T00:00:00"/>
        <d v="2025-10-28T00:00:00"/>
        <d v="2025-02-10T00:00:00"/>
        <d v="2025-03-25T00:00:00"/>
        <d v="2025-07-10T00:00:00"/>
        <d v="2025-06-21T00:00:00"/>
        <d v="2025-03-22T00:00:00"/>
        <d v="2025-10-16T00:00:00"/>
        <d v="2025-08-23T00:00:00"/>
        <d v="2025-05-14T00:00:00"/>
        <d v="2025-05-20T00:00:00"/>
        <d v="2025-02-24T00:00:00"/>
        <d v="2025-08-20T00:00:00"/>
        <d v="2025-02-17T00:00:00"/>
        <d v="2025-01-10T00:00:00"/>
        <d v="2025-10-17T00:00:00"/>
        <d v="2025-10-22T00:00:00"/>
        <d v="2025-10-18T00:00:00"/>
      </sharedItems>
      <fieldGroup par="14" base="1">
        <rangePr groupBy="days" startDate="2025-01-01T00:00:00" endDate="2026-01-01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6"/>
        </groupItems>
      </fieldGroup>
    </cacheField>
    <cacheField name="Customer ID" numFmtId="0">
      <sharedItems count="167">
        <s v="C029"/>
        <s v="C140"/>
        <s v="C130"/>
        <s v="C151"/>
        <s v="C072"/>
        <s v="C025"/>
        <s v="C032"/>
        <s v="C018"/>
        <s v="C098"/>
        <s v="C054"/>
        <s v="C044"/>
        <s v="C177"/>
        <s v="C081"/>
        <s v="C128"/>
        <s v="C064"/>
        <s v="C093"/>
        <s v="C099"/>
        <s v="C175"/>
        <s v="C076"/>
        <s v="C042"/>
        <s v="C126"/>
        <s v="C062"/>
        <s v="C033"/>
        <s v="C156"/>
        <s v="C172"/>
        <s v="C058"/>
        <s v="C002"/>
        <s v="C019"/>
        <s v="C147"/>
        <s v="C168"/>
        <s v="C050"/>
        <s v="C139"/>
        <s v="C125"/>
        <s v="C001"/>
        <s v="C179"/>
        <s v="C013"/>
        <s v="C021"/>
        <s v="C146"/>
        <s v="C150"/>
        <s v="C068"/>
        <s v="C003"/>
        <s v="C055"/>
        <s v="C073"/>
        <s v="C136"/>
        <s v="C030"/>
        <s v="C088"/>
        <s v="C024"/>
        <s v="C164"/>
        <s v="C095"/>
        <s v="C011"/>
        <s v="C105"/>
        <s v="C106"/>
        <s v="C041"/>
        <s v="C118"/>
        <s v="C169"/>
        <s v="C165"/>
        <s v="C067"/>
        <s v="C112"/>
        <s v="C049"/>
        <s v="C080"/>
        <s v="C078"/>
        <s v="C149"/>
        <s v="C122"/>
        <s v="C173"/>
        <s v="C057"/>
        <s v="C113"/>
        <s v="C107"/>
        <s v="C100"/>
        <s v="C091"/>
        <s v="C155"/>
        <s v="C087"/>
        <s v="C160"/>
        <s v="C110"/>
        <s v="C065"/>
        <s v="C167"/>
        <s v="C006"/>
        <s v="C120"/>
        <s v="C028"/>
        <s v="C020"/>
        <s v="C154"/>
        <s v="C046"/>
        <s v="C152"/>
        <s v="C063"/>
        <s v="C084"/>
        <s v="C153"/>
        <s v="C005"/>
        <s v="C124"/>
        <s v="C014"/>
        <s v="C123"/>
        <s v="C176"/>
        <s v="C031"/>
        <s v="C116"/>
        <s v="C159"/>
        <s v="C170"/>
        <s v="C166"/>
        <s v="C079"/>
        <s v="C127"/>
        <s v="C086"/>
        <s v="C161"/>
        <s v="C142"/>
        <s v="C121"/>
        <s v="C035"/>
        <s v="C069"/>
        <s v="C138"/>
        <s v="C135"/>
        <s v="C137"/>
        <s v="C178"/>
        <s v="C096"/>
        <s v="C037"/>
        <s v="C074"/>
        <s v="C174"/>
        <s v="C094"/>
        <s v="C060"/>
        <s v="C036"/>
        <s v="C061"/>
        <s v="C071"/>
        <s v="C034"/>
        <s v="C092"/>
        <s v="C108"/>
        <s v="C171"/>
        <s v="C022"/>
        <s v="C016"/>
        <s v="C090"/>
        <s v="C070"/>
        <s v="C056"/>
        <s v="C102"/>
        <s v="C075"/>
        <s v="C038"/>
        <s v="C163"/>
        <s v="C027"/>
        <s v="C085"/>
        <s v="C097"/>
        <s v="C115"/>
        <s v="C129"/>
        <s v="C082"/>
        <s v="C012"/>
        <s v="C089"/>
        <s v="C047"/>
        <s v="C052"/>
        <s v="C083"/>
        <s v="C180"/>
        <s v="C051"/>
        <s v="C157"/>
        <s v="C132"/>
        <s v="C077"/>
        <s v="C066"/>
        <s v="C045"/>
        <s v="C048"/>
        <s v="C104"/>
        <s v="C117"/>
        <s v="C015"/>
        <s v="C009"/>
        <s v="C103"/>
        <s v="C004"/>
        <s v="C059"/>
        <s v="C023"/>
        <s v="C026"/>
        <s v="C101"/>
        <s v="C162"/>
        <s v="C017"/>
        <s v="C109"/>
        <s v="C133"/>
        <s v="C131"/>
        <s v="C043"/>
        <s v="C008"/>
        <s v="C158"/>
        <s v="C145"/>
      </sharedItems>
    </cacheField>
    <cacheField name="Product" numFmtId="0">
      <sharedItems count="12">
        <s v="Wireless Earbuds"/>
        <s v="Bluetooth Speaker"/>
        <s v="Coffee Maker"/>
        <s v="Phone Case"/>
        <s v="Smart Watch"/>
        <s v="USB-C Cable"/>
        <s v="Running Shoes"/>
        <s v="Water Bottle"/>
        <s v="Jeans"/>
        <s v="Desk Lamp"/>
        <s v="Laptop Backpack"/>
        <s v="Casual T-Shirt"/>
      </sharedItems>
    </cacheField>
    <cacheField name="Category" numFmtId="0">
      <sharedItems count="4">
        <s v="Electronics"/>
        <s v="Home &amp; Kitchen"/>
        <s v="Accessories"/>
        <s v="Fashion"/>
      </sharedItems>
    </cacheField>
    <cacheField name="Region" numFmtId="0">
      <sharedItems count="4">
        <s v="South"/>
        <s v="North"/>
        <s v="West"/>
        <s v="East"/>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containsInteger="1" minValue="399" maxValue="3999"/>
    </cacheField>
    <cacheField name="Discount %" numFmtId="9">
      <sharedItems containsSemiMixedTypes="0" containsString="0" containsNumber="1" minValue="0" maxValue="0.2"/>
    </cacheField>
    <cacheField name="Payment Method" numFmtId="0">
      <sharedItems count="5">
        <s v="UPI"/>
        <s v="Credit Card"/>
        <s v="Cash on Delivery"/>
        <s v="Net Banking"/>
        <s v="Debit Card"/>
      </sharedItems>
    </cacheField>
    <cacheField name="revenue" numFmtId="0">
      <sharedItems containsSemiMixedTypes="0" containsString="0" containsNumber="1" minValue="319.20000000000005" maxValue="18995.25"/>
    </cacheField>
    <cacheField name="cost per unit" numFmtId="0">
      <sharedItems containsSemiMixedTypes="0" containsString="0" containsNumber="1" containsInteger="1" minValue="180" maxValue="2600"/>
    </cacheField>
    <cacheField name="profit" numFmtId="0">
      <sharedItems containsSemiMixedTypes="0" containsString="0" containsNumber="1" minValue="139.20000000000005" maxValue="5995.25"/>
    </cacheField>
    <cacheField name="profit margin" numFmtId="9">
      <sharedItems containsSemiMixedTypes="0" containsString="0" containsNumber="1" minValue="0.17833666761931985" maxValue="0.54887218045112784"/>
    </cacheField>
    <cacheField name="Months" numFmtId="0" databaseField="0">
      <fieldGroup base="1">
        <rangePr groupBy="months" startDate="2025-01-01T00:00:00" endDate="2026-01-01T00:00:00"/>
        <groupItems count="14">
          <s v="&lt;01-01-25"/>
          <s v="Jan"/>
          <s v="Feb"/>
          <s v="Mar"/>
          <s v="Apr"/>
          <s v="May"/>
          <s v="Jun"/>
          <s v="Jul"/>
          <s v="Aug"/>
          <s v="Sep"/>
          <s v="Oct"/>
          <s v="Nov"/>
          <s v="Dec"/>
          <s v="&gt;01-01-26"/>
        </groupItems>
      </fieldGroup>
    </cacheField>
  </cacheFields>
  <extLst>
    <ext xmlns:x14="http://schemas.microsoft.com/office/spreadsheetml/2009/9/main" uri="{725AE2AE-9491-48be-B2B4-4EB974FC3084}">
      <x14:pivotCacheDefinition pivotCacheId="965319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n v="2"/>
    <n v="1999"/>
    <n v="0"/>
    <x v="0"/>
    <n v="3998"/>
    <n v="1200"/>
    <n v="1598"/>
    <n v="0.39969984992496249"/>
  </r>
  <r>
    <x v="1"/>
    <x v="1"/>
    <x v="1"/>
    <x v="1"/>
    <x v="0"/>
    <x v="1"/>
    <n v="2"/>
    <n v="2499"/>
    <n v="0"/>
    <x v="1"/>
    <n v="4998"/>
    <n v="1600"/>
    <n v="1798"/>
    <n v="0.35974389755902358"/>
  </r>
  <r>
    <x v="2"/>
    <x v="2"/>
    <x v="2"/>
    <x v="2"/>
    <x v="1"/>
    <x v="2"/>
    <n v="1"/>
    <n v="3999"/>
    <n v="0"/>
    <x v="1"/>
    <n v="3999"/>
    <n v="2600"/>
    <n v="1399"/>
    <n v="0.34983745936484123"/>
  </r>
  <r>
    <x v="3"/>
    <x v="3"/>
    <x v="3"/>
    <x v="3"/>
    <x v="2"/>
    <x v="0"/>
    <n v="3"/>
    <n v="599"/>
    <n v="0"/>
    <x v="2"/>
    <n v="1797"/>
    <n v="300"/>
    <n v="897"/>
    <n v="0.4991652754590985"/>
  </r>
  <r>
    <x v="4"/>
    <x v="4"/>
    <x v="4"/>
    <x v="4"/>
    <x v="0"/>
    <x v="1"/>
    <n v="1"/>
    <n v="3499"/>
    <n v="0.1"/>
    <x v="0"/>
    <n v="3149.1"/>
    <n v="2300"/>
    <n v="849.09999999999991"/>
    <n v="0.26963259343939538"/>
  </r>
  <r>
    <x v="5"/>
    <x v="5"/>
    <x v="5"/>
    <x v="5"/>
    <x v="2"/>
    <x v="1"/>
    <n v="3"/>
    <n v="399"/>
    <n v="0.1"/>
    <x v="2"/>
    <n v="1077.3"/>
    <n v="180"/>
    <n v="537.29999999999995"/>
    <n v="0.49874686716791977"/>
  </r>
  <r>
    <x v="6"/>
    <x v="6"/>
    <x v="6"/>
    <x v="6"/>
    <x v="3"/>
    <x v="3"/>
    <n v="1"/>
    <n v="2999"/>
    <n v="0"/>
    <x v="3"/>
    <n v="2999"/>
    <n v="1800"/>
    <n v="1199"/>
    <n v="0.39979993331110369"/>
  </r>
  <r>
    <x v="7"/>
    <x v="7"/>
    <x v="7"/>
    <x v="0"/>
    <x v="0"/>
    <x v="1"/>
    <n v="2"/>
    <n v="1999"/>
    <n v="0.1"/>
    <x v="1"/>
    <n v="3598.2000000000003"/>
    <n v="1200"/>
    <n v="1198.2000000000003"/>
    <n v="0.33299983324995835"/>
  </r>
  <r>
    <x v="8"/>
    <x v="8"/>
    <x v="8"/>
    <x v="3"/>
    <x v="2"/>
    <x v="0"/>
    <n v="2"/>
    <n v="599"/>
    <n v="0.15"/>
    <x v="4"/>
    <n v="1018.3"/>
    <n v="300"/>
    <n v="418.29999999999995"/>
    <n v="0.41078267701070409"/>
  </r>
  <r>
    <x v="9"/>
    <x v="9"/>
    <x v="9"/>
    <x v="7"/>
    <x v="1"/>
    <x v="1"/>
    <n v="1"/>
    <n v="799"/>
    <n v="0.15"/>
    <x v="3"/>
    <n v="679.15"/>
    <n v="400"/>
    <n v="279.14999999999998"/>
    <n v="0.41102849149672382"/>
  </r>
  <r>
    <x v="10"/>
    <x v="10"/>
    <x v="10"/>
    <x v="8"/>
    <x v="3"/>
    <x v="2"/>
    <n v="2"/>
    <n v="1799"/>
    <n v="0"/>
    <x v="4"/>
    <n v="3598"/>
    <n v="1000"/>
    <n v="1598"/>
    <n v="0.4441356309060589"/>
  </r>
  <r>
    <x v="11"/>
    <x v="0"/>
    <x v="11"/>
    <x v="8"/>
    <x v="3"/>
    <x v="1"/>
    <n v="1"/>
    <n v="1799"/>
    <n v="0"/>
    <x v="1"/>
    <n v="1799"/>
    <n v="1000"/>
    <n v="799"/>
    <n v="0.4441356309060589"/>
  </r>
  <r>
    <x v="12"/>
    <x v="11"/>
    <x v="12"/>
    <x v="6"/>
    <x v="3"/>
    <x v="3"/>
    <n v="1"/>
    <n v="2999"/>
    <n v="0"/>
    <x v="1"/>
    <n v="2999"/>
    <n v="1800"/>
    <n v="1199"/>
    <n v="0.39979993331110369"/>
  </r>
  <r>
    <x v="13"/>
    <x v="12"/>
    <x v="13"/>
    <x v="6"/>
    <x v="3"/>
    <x v="0"/>
    <n v="3"/>
    <n v="2999"/>
    <n v="0.1"/>
    <x v="4"/>
    <n v="8097.3"/>
    <n v="1800"/>
    <n v="2697.3"/>
    <n v="0.33311103701233746"/>
  </r>
  <r>
    <x v="14"/>
    <x v="13"/>
    <x v="14"/>
    <x v="9"/>
    <x v="1"/>
    <x v="2"/>
    <n v="2"/>
    <n v="1499"/>
    <n v="0"/>
    <x v="3"/>
    <n v="2998"/>
    <n v="800"/>
    <n v="1398"/>
    <n v="0.46631087391594395"/>
  </r>
  <r>
    <x v="15"/>
    <x v="14"/>
    <x v="15"/>
    <x v="10"/>
    <x v="2"/>
    <x v="2"/>
    <n v="5"/>
    <n v="1299"/>
    <n v="0"/>
    <x v="0"/>
    <n v="6495"/>
    <n v="750"/>
    <n v="2745"/>
    <n v="0.42263279445727481"/>
  </r>
  <r>
    <x v="16"/>
    <x v="15"/>
    <x v="0"/>
    <x v="4"/>
    <x v="0"/>
    <x v="2"/>
    <n v="2"/>
    <n v="3499"/>
    <n v="0.1"/>
    <x v="3"/>
    <n v="6298.2"/>
    <n v="2300"/>
    <n v="1698.1999999999998"/>
    <n v="0.26963259343939538"/>
  </r>
  <r>
    <x v="17"/>
    <x v="16"/>
    <x v="16"/>
    <x v="6"/>
    <x v="3"/>
    <x v="3"/>
    <n v="2"/>
    <n v="2999"/>
    <n v="0.05"/>
    <x v="3"/>
    <n v="5698.0999999999995"/>
    <n v="1800"/>
    <n v="2098.0999999999995"/>
    <n v="0.36821045611695119"/>
  </r>
  <r>
    <x v="18"/>
    <x v="17"/>
    <x v="17"/>
    <x v="9"/>
    <x v="1"/>
    <x v="3"/>
    <n v="1"/>
    <n v="1499"/>
    <n v="0.15"/>
    <x v="4"/>
    <n v="1274.1499999999999"/>
    <n v="800"/>
    <n v="474.14999999999986"/>
    <n v="0.3721304399011105"/>
  </r>
  <r>
    <x v="19"/>
    <x v="18"/>
    <x v="18"/>
    <x v="6"/>
    <x v="3"/>
    <x v="3"/>
    <n v="1"/>
    <n v="2999"/>
    <n v="0"/>
    <x v="3"/>
    <n v="2999"/>
    <n v="1800"/>
    <n v="1199"/>
    <n v="0.39979993331110369"/>
  </r>
  <r>
    <x v="20"/>
    <x v="19"/>
    <x v="2"/>
    <x v="1"/>
    <x v="0"/>
    <x v="0"/>
    <n v="3"/>
    <n v="2499"/>
    <n v="0"/>
    <x v="1"/>
    <n v="7497"/>
    <n v="1600"/>
    <n v="2697"/>
    <n v="0.35974389755902358"/>
  </r>
  <r>
    <x v="21"/>
    <x v="20"/>
    <x v="19"/>
    <x v="8"/>
    <x v="3"/>
    <x v="1"/>
    <n v="4"/>
    <n v="1799"/>
    <n v="0.15"/>
    <x v="3"/>
    <n v="6116.5999999999995"/>
    <n v="1000"/>
    <n v="2116.5999999999995"/>
    <n v="0.34604191871301043"/>
  </r>
  <r>
    <x v="22"/>
    <x v="21"/>
    <x v="20"/>
    <x v="0"/>
    <x v="0"/>
    <x v="3"/>
    <n v="1"/>
    <n v="1999"/>
    <n v="0.05"/>
    <x v="1"/>
    <n v="1899.05"/>
    <n v="1200"/>
    <n v="699.05"/>
    <n v="0.368105105184171"/>
  </r>
  <r>
    <x v="23"/>
    <x v="22"/>
    <x v="21"/>
    <x v="2"/>
    <x v="1"/>
    <x v="2"/>
    <n v="4"/>
    <n v="3999"/>
    <n v="0"/>
    <x v="0"/>
    <n v="15996"/>
    <n v="2600"/>
    <n v="5596"/>
    <n v="0.34983745936484123"/>
  </r>
  <r>
    <x v="24"/>
    <x v="23"/>
    <x v="22"/>
    <x v="4"/>
    <x v="0"/>
    <x v="0"/>
    <n v="2"/>
    <n v="3499"/>
    <n v="0.15"/>
    <x v="4"/>
    <n v="5948.3"/>
    <n v="2300"/>
    <n v="1348.3000000000002"/>
    <n v="0.22666980481818336"/>
  </r>
  <r>
    <x v="25"/>
    <x v="24"/>
    <x v="23"/>
    <x v="6"/>
    <x v="3"/>
    <x v="0"/>
    <n v="4"/>
    <n v="2999"/>
    <n v="0.15"/>
    <x v="4"/>
    <n v="10196.6"/>
    <n v="1800"/>
    <n v="2996.6000000000004"/>
    <n v="0.29388227448365145"/>
  </r>
  <r>
    <x v="26"/>
    <x v="14"/>
    <x v="24"/>
    <x v="7"/>
    <x v="1"/>
    <x v="2"/>
    <n v="1"/>
    <n v="799"/>
    <n v="0.15"/>
    <x v="0"/>
    <n v="679.15"/>
    <n v="400"/>
    <n v="279.14999999999998"/>
    <n v="0.41102849149672382"/>
  </r>
  <r>
    <x v="27"/>
    <x v="25"/>
    <x v="25"/>
    <x v="1"/>
    <x v="0"/>
    <x v="0"/>
    <n v="1"/>
    <n v="2499"/>
    <n v="0.05"/>
    <x v="3"/>
    <n v="2374.0499999999997"/>
    <n v="1600"/>
    <n v="774.04999999999973"/>
    <n v="0.3260462079568669"/>
  </r>
  <r>
    <x v="28"/>
    <x v="26"/>
    <x v="26"/>
    <x v="1"/>
    <x v="0"/>
    <x v="1"/>
    <n v="2"/>
    <n v="2499"/>
    <n v="0"/>
    <x v="0"/>
    <n v="4998"/>
    <n v="1600"/>
    <n v="1798"/>
    <n v="0.35974389755902358"/>
  </r>
  <r>
    <x v="29"/>
    <x v="27"/>
    <x v="27"/>
    <x v="8"/>
    <x v="3"/>
    <x v="0"/>
    <n v="1"/>
    <n v="1799"/>
    <n v="0.1"/>
    <x v="3"/>
    <n v="1619.1000000000001"/>
    <n v="1000"/>
    <n v="619.10000000000014"/>
    <n v="0.38237292322895439"/>
  </r>
  <r>
    <x v="30"/>
    <x v="28"/>
    <x v="28"/>
    <x v="2"/>
    <x v="1"/>
    <x v="2"/>
    <n v="2"/>
    <n v="3999"/>
    <n v="0.1"/>
    <x v="1"/>
    <n v="7198.2"/>
    <n v="2600"/>
    <n v="1998.1999999999998"/>
    <n v="0.27759717707204579"/>
  </r>
  <r>
    <x v="31"/>
    <x v="29"/>
    <x v="5"/>
    <x v="7"/>
    <x v="1"/>
    <x v="2"/>
    <n v="1"/>
    <n v="799"/>
    <n v="0.05"/>
    <x v="0"/>
    <n v="759.05"/>
    <n v="400"/>
    <n v="359.04999999999995"/>
    <n v="0.47302549239180552"/>
  </r>
  <r>
    <x v="32"/>
    <x v="30"/>
    <x v="29"/>
    <x v="7"/>
    <x v="1"/>
    <x v="3"/>
    <n v="1"/>
    <n v="799"/>
    <n v="0.05"/>
    <x v="0"/>
    <n v="759.05"/>
    <n v="400"/>
    <n v="359.04999999999995"/>
    <n v="0.47302549239180552"/>
  </r>
  <r>
    <x v="33"/>
    <x v="31"/>
    <x v="30"/>
    <x v="10"/>
    <x v="2"/>
    <x v="0"/>
    <n v="2"/>
    <n v="1299"/>
    <n v="0"/>
    <x v="4"/>
    <n v="2598"/>
    <n v="750"/>
    <n v="1098"/>
    <n v="0.42263279445727481"/>
  </r>
  <r>
    <x v="34"/>
    <x v="32"/>
    <x v="14"/>
    <x v="1"/>
    <x v="0"/>
    <x v="1"/>
    <n v="1"/>
    <n v="2499"/>
    <n v="0.15"/>
    <x v="0"/>
    <n v="2124.15"/>
    <n v="1600"/>
    <n v="524.15000000000009"/>
    <n v="0.24675752654002781"/>
  </r>
  <r>
    <x v="35"/>
    <x v="33"/>
    <x v="31"/>
    <x v="0"/>
    <x v="0"/>
    <x v="0"/>
    <n v="4"/>
    <n v="1999"/>
    <n v="0.15"/>
    <x v="1"/>
    <n v="6796.5999999999995"/>
    <n v="1200"/>
    <n v="1996.5999999999995"/>
    <n v="0.29376452932348524"/>
  </r>
  <r>
    <x v="36"/>
    <x v="34"/>
    <x v="32"/>
    <x v="11"/>
    <x v="3"/>
    <x v="1"/>
    <n v="1"/>
    <n v="999"/>
    <n v="0.05"/>
    <x v="1"/>
    <n v="949.05"/>
    <n v="550"/>
    <n v="399.04999999999995"/>
    <n v="0.42047310468363097"/>
  </r>
  <r>
    <x v="37"/>
    <x v="5"/>
    <x v="33"/>
    <x v="6"/>
    <x v="3"/>
    <x v="2"/>
    <n v="1"/>
    <n v="2999"/>
    <n v="0.1"/>
    <x v="4"/>
    <n v="2699.1"/>
    <n v="1800"/>
    <n v="899.09999999999991"/>
    <n v="0.33311103701233741"/>
  </r>
  <r>
    <x v="38"/>
    <x v="35"/>
    <x v="34"/>
    <x v="9"/>
    <x v="1"/>
    <x v="2"/>
    <n v="5"/>
    <n v="1499"/>
    <n v="0.05"/>
    <x v="1"/>
    <n v="7120.25"/>
    <n v="800"/>
    <n v="3120.25"/>
    <n v="0.43822197254309891"/>
  </r>
  <r>
    <x v="39"/>
    <x v="36"/>
    <x v="18"/>
    <x v="10"/>
    <x v="2"/>
    <x v="1"/>
    <n v="4"/>
    <n v="1299"/>
    <n v="0.05"/>
    <x v="4"/>
    <n v="4936.2"/>
    <n v="750"/>
    <n v="1936.1999999999998"/>
    <n v="0.39224504679713135"/>
  </r>
  <r>
    <x v="40"/>
    <x v="22"/>
    <x v="35"/>
    <x v="2"/>
    <x v="1"/>
    <x v="0"/>
    <n v="2"/>
    <n v="3999"/>
    <n v="0.15"/>
    <x v="0"/>
    <n v="6798.3"/>
    <n v="2600"/>
    <n v="1598.3000000000002"/>
    <n v="0.23510289337040144"/>
  </r>
  <r>
    <x v="41"/>
    <x v="37"/>
    <x v="36"/>
    <x v="4"/>
    <x v="0"/>
    <x v="0"/>
    <n v="1"/>
    <n v="3499"/>
    <n v="0"/>
    <x v="2"/>
    <n v="3499"/>
    <n v="2300"/>
    <n v="1199"/>
    <n v="0.34266933409545586"/>
  </r>
  <r>
    <x v="42"/>
    <x v="38"/>
    <x v="37"/>
    <x v="10"/>
    <x v="2"/>
    <x v="1"/>
    <n v="2"/>
    <n v="1299"/>
    <n v="0"/>
    <x v="2"/>
    <n v="2598"/>
    <n v="750"/>
    <n v="1098"/>
    <n v="0.42263279445727481"/>
  </r>
  <r>
    <x v="43"/>
    <x v="39"/>
    <x v="38"/>
    <x v="2"/>
    <x v="1"/>
    <x v="0"/>
    <n v="2"/>
    <n v="3999"/>
    <n v="0.15"/>
    <x v="4"/>
    <n v="6798.3"/>
    <n v="2600"/>
    <n v="1598.3000000000002"/>
    <n v="0.23510289337040144"/>
  </r>
  <r>
    <x v="44"/>
    <x v="40"/>
    <x v="39"/>
    <x v="6"/>
    <x v="3"/>
    <x v="2"/>
    <n v="1"/>
    <n v="2999"/>
    <n v="0.1"/>
    <x v="4"/>
    <n v="2699.1"/>
    <n v="1800"/>
    <n v="899.09999999999991"/>
    <n v="0.33311103701233741"/>
  </r>
  <r>
    <x v="45"/>
    <x v="41"/>
    <x v="40"/>
    <x v="11"/>
    <x v="3"/>
    <x v="1"/>
    <n v="2"/>
    <n v="999"/>
    <n v="0.05"/>
    <x v="0"/>
    <n v="1898.1"/>
    <n v="550"/>
    <n v="798.09999999999991"/>
    <n v="0.42047310468363097"/>
  </r>
  <r>
    <x v="46"/>
    <x v="42"/>
    <x v="41"/>
    <x v="8"/>
    <x v="3"/>
    <x v="1"/>
    <n v="1"/>
    <n v="1799"/>
    <n v="0.15"/>
    <x v="1"/>
    <n v="1529.1499999999999"/>
    <n v="1000"/>
    <n v="529.14999999999986"/>
    <n v="0.34604191871301043"/>
  </r>
  <r>
    <x v="47"/>
    <x v="43"/>
    <x v="42"/>
    <x v="4"/>
    <x v="0"/>
    <x v="3"/>
    <n v="1"/>
    <n v="3499"/>
    <n v="0.05"/>
    <x v="3"/>
    <n v="3324.0499999999997"/>
    <n v="2300"/>
    <n v="1024.0499999999997"/>
    <n v="0.30807298325837451"/>
  </r>
  <r>
    <x v="48"/>
    <x v="44"/>
    <x v="43"/>
    <x v="0"/>
    <x v="0"/>
    <x v="1"/>
    <n v="2"/>
    <n v="1999"/>
    <n v="0.05"/>
    <x v="1"/>
    <n v="3798.1"/>
    <n v="1200"/>
    <n v="1398.1"/>
    <n v="0.368105105184171"/>
  </r>
  <r>
    <x v="49"/>
    <x v="45"/>
    <x v="44"/>
    <x v="1"/>
    <x v="0"/>
    <x v="3"/>
    <n v="2"/>
    <n v="2499"/>
    <n v="0"/>
    <x v="3"/>
    <n v="4998"/>
    <n v="1600"/>
    <n v="1798"/>
    <n v="0.35974389755902358"/>
  </r>
  <r>
    <x v="50"/>
    <x v="46"/>
    <x v="45"/>
    <x v="10"/>
    <x v="2"/>
    <x v="2"/>
    <n v="2"/>
    <n v="1299"/>
    <n v="0.15"/>
    <x v="4"/>
    <n v="2208.2999999999997"/>
    <n v="750"/>
    <n v="708.29999999999973"/>
    <n v="0.32074446406738205"/>
  </r>
  <r>
    <x v="51"/>
    <x v="47"/>
    <x v="46"/>
    <x v="7"/>
    <x v="1"/>
    <x v="1"/>
    <n v="1"/>
    <n v="799"/>
    <n v="0"/>
    <x v="4"/>
    <n v="799"/>
    <n v="400"/>
    <n v="399"/>
    <n v="0.49937421777221525"/>
  </r>
  <r>
    <x v="52"/>
    <x v="48"/>
    <x v="47"/>
    <x v="3"/>
    <x v="2"/>
    <x v="2"/>
    <n v="1"/>
    <n v="599"/>
    <n v="0.05"/>
    <x v="3"/>
    <n v="569.04999999999995"/>
    <n v="300"/>
    <n v="269.04999999999995"/>
    <n v="0.47280555311484046"/>
  </r>
  <r>
    <x v="53"/>
    <x v="49"/>
    <x v="0"/>
    <x v="1"/>
    <x v="0"/>
    <x v="0"/>
    <n v="4"/>
    <n v="2499"/>
    <n v="0.1"/>
    <x v="3"/>
    <n v="8996.4"/>
    <n v="1600"/>
    <n v="2596.3999999999996"/>
    <n v="0.28860433062113733"/>
  </r>
  <r>
    <x v="54"/>
    <x v="50"/>
    <x v="48"/>
    <x v="2"/>
    <x v="1"/>
    <x v="1"/>
    <n v="2"/>
    <n v="3999"/>
    <n v="0.05"/>
    <x v="4"/>
    <n v="7598.0999999999995"/>
    <n v="2600"/>
    <n v="2398.0999999999995"/>
    <n v="0.3156183782787802"/>
  </r>
  <r>
    <x v="55"/>
    <x v="51"/>
    <x v="49"/>
    <x v="5"/>
    <x v="2"/>
    <x v="1"/>
    <n v="1"/>
    <n v="399"/>
    <n v="0"/>
    <x v="4"/>
    <n v="399"/>
    <n v="180"/>
    <n v="219"/>
    <n v="0.54887218045112784"/>
  </r>
  <r>
    <x v="56"/>
    <x v="52"/>
    <x v="50"/>
    <x v="2"/>
    <x v="1"/>
    <x v="0"/>
    <n v="2"/>
    <n v="3999"/>
    <n v="0.15"/>
    <x v="1"/>
    <n v="6798.3"/>
    <n v="2600"/>
    <n v="1598.3000000000002"/>
    <n v="0.23510289337040144"/>
  </r>
  <r>
    <x v="57"/>
    <x v="53"/>
    <x v="51"/>
    <x v="0"/>
    <x v="0"/>
    <x v="2"/>
    <n v="1"/>
    <n v="1999"/>
    <n v="0.15"/>
    <x v="1"/>
    <n v="1699.1499999999999"/>
    <n v="1200"/>
    <n v="499.14999999999986"/>
    <n v="0.29376452932348524"/>
  </r>
  <r>
    <x v="58"/>
    <x v="54"/>
    <x v="52"/>
    <x v="9"/>
    <x v="1"/>
    <x v="2"/>
    <n v="1"/>
    <n v="1499"/>
    <n v="0.15"/>
    <x v="1"/>
    <n v="1274.1499999999999"/>
    <n v="800"/>
    <n v="474.14999999999986"/>
    <n v="0.3721304399011105"/>
  </r>
  <r>
    <x v="59"/>
    <x v="55"/>
    <x v="53"/>
    <x v="5"/>
    <x v="2"/>
    <x v="0"/>
    <n v="1"/>
    <n v="399"/>
    <n v="0.1"/>
    <x v="1"/>
    <n v="359.1"/>
    <n v="180"/>
    <n v="179.10000000000002"/>
    <n v="0.49874686716791983"/>
  </r>
  <r>
    <x v="60"/>
    <x v="56"/>
    <x v="54"/>
    <x v="10"/>
    <x v="2"/>
    <x v="1"/>
    <n v="1"/>
    <n v="1299"/>
    <n v="0"/>
    <x v="4"/>
    <n v="1299"/>
    <n v="750"/>
    <n v="549"/>
    <n v="0.42263279445727481"/>
  </r>
  <r>
    <x v="61"/>
    <x v="57"/>
    <x v="55"/>
    <x v="8"/>
    <x v="3"/>
    <x v="3"/>
    <n v="1"/>
    <n v="1799"/>
    <n v="0.2"/>
    <x v="0"/>
    <n v="1439.2"/>
    <n v="1000"/>
    <n v="439.20000000000005"/>
    <n v="0.30516953863257368"/>
  </r>
  <r>
    <x v="62"/>
    <x v="58"/>
    <x v="56"/>
    <x v="4"/>
    <x v="0"/>
    <x v="1"/>
    <n v="2"/>
    <n v="3499"/>
    <n v="0.2"/>
    <x v="0"/>
    <n v="5598.4000000000005"/>
    <n v="2300"/>
    <n v="998.40000000000055"/>
    <n v="0.17833666761931988"/>
  </r>
  <r>
    <x v="63"/>
    <x v="59"/>
    <x v="57"/>
    <x v="5"/>
    <x v="2"/>
    <x v="1"/>
    <n v="2"/>
    <n v="399"/>
    <n v="0"/>
    <x v="2"/>
    <n v="798"/>
    <n v="180"/>
    <n v="438"/>
    <n v="0.54887218045112784"/>
  </r>
  <r>
    <x v="64"/>
    <x v="60"/>
    <x v="58"/>
    <x v="3"/>
    <x v="2"/>
    <x v="0"/>
    <n v="1"/>
    <n v="599"/>
    <n v="0.05"/>
    <x v="4"/>
    <n v="569.04999999999995"/>
    <n v="300"/>
    <n v="269.04999999999995"/>
    <n v="0.47280555311484046"/>
  </r>
  <r>
    <x v="65"/>
    <x v="61"/>
    <x v="7"/>
    <x v="7"/>
    <x v="1"/>
    <x v="1"/>
    <n v="4"/>
    <n v="799"/>
    <n v="0.1"/>
    <x v="4"/>
    <n v="2876.4"/>
    <n v="400"/>
    <n v="1276.4000000000001"/>
    <n v="0.44374913085801698"/>
  </r>
  <r>
    <x v="66"/>
    <x v="62"/>
    <x v="59"/>
    <x v="7"/>
    <x v="1"/>
    <x v="3"/>
    <n v="1"/>
    <n v="799"/>
    <n v="0.05"/>
    <x v="3"/>
    <n v="759.05"/>
    <n v="400"/>
    <n v="359.04999999999995"/>
    <n v="0.47302549239180552"/>
  </r>
  <r>
    <x v="67"/>
    <x v="63"/>
    <x v="30"/>
    <x v="6"/>
    <x v="3"/>
    <x v="0"/>
    <n v="2"/>
    <n v="2999"/>
    <n v="0.05"/>
    <x v="3"/>
    <n v="5698.0999999999995"/>
    <n v="1800"/>
    <n v="2098.0999999999995"/>
    <n v="0.36821045611695119"/>
  </r>
  <r>
    <x v="68"/>
    <x v="64"/>
    <x v="60"/>
    <x v="6"/>
    <x v="3"/>
    <x v="3"/>
    <n v="2"/>
    <n v="2999"/>
    <n v="0"/>
    <x v="1"/>
    <n v="5998"/>
    <n v="1800"/>
    <n v="2398"/>
    <n v="0.39979993331110369"/>
  </r>
  <r>
    <x v="69"/>
    <x v="61"/>
    <x v="61"/>
    <x v="2"/>
    <x v="1"/>
    <x v="2"/>
    <n v="2"/>
    <n v="3999"/>
    <n v="0.05"/>
    <x v="1"/>
    <n v="7598.0999999999995"/>
    <n v="2600"/>
    <n v="2398.0999999999995"/>
    <n v="0.3156183782787802"/>
  </r>
  <r>
    <x v="70"/>
    <x v="65"/>
    <x v="62"/>
    <x v="9"/>
    <x v="1"/>
    <x v="3"/>
    <n v="1"/>
    <n v="1499"/>
    <n v="0"/>
    <x v="0"/>
    <n v="1499"/>
    <n v="800"/>
    <n v="699"/>
    <n v="0.46631087391594395"/>
  </r>
  <r>
    <x v="71"/>
    <x v="66"/>
    <x v="63"/>
    <x v="3"/>
    <x v="2"/>
    <x v="1"/>
    <n v="1"/>
    <n v="599"/>
    <n v="0"/>
    <x v="0"/>
    <n v="599"/>
    <n v="300"/>
    <n v="299"/>
    <n v="0.4991652754590985"/>
  </r>
  <r>
    <x v="72"/>
    <x v="67"/>
    <x v="62"/>
    <x v="2"/>
    <x v="1"/>
    <x v="2"/>
    <n v="3"/>
    <n v="3999"/>
    <n v="0"/>
    <x v="3"/>
    <n v="11997"/>
    <n v="2600"/>
    <n v="4197"/>
    <n v="0.34983745936484123"/>
  </r>
  <r>
    <x v="73"/>
    <x v="68"/>
    <x v="34"/>
    <x v="6"/>
    <x v="3"/>
    <x v="1"/>
    <n v="2"/>
    <n v="2999"/>
    <n v="0"/>
    <x v="0"/>
    <n v="5998"/>
    <n v="1800"/>
    <n v="2398"/>
    <n v="0.39979993331110369"/>
  </r>
  <r>
    <x v="74"/>
    <x v="69"/>
    <x v="64"/>
    <x v="4"/>
    <x v="0"/>
    <x v="2"/>
    <n v="3"/>
    <n v="3499"/>
    <n v="0.1"/>
    <x v="0"/>
    <n v="9447.3000000000011"/>
    <n v="2300"/>
    <n v="2547.3000000000011"/>
    <n v="0.26963259343939544"/>
  </r>
  <r>
    <x v="75"/>
    <x v="70"/>
    <x v="14"/>
    <x v="1"/>
    <x v="0"/>
    <x v="3"/>
    <n v="2"/>
    <n v="2499"/>
    <n v="0.15"/>
    <x v="2"/>
    <n v="4248.3"/>
    <n v="1600"/>
    <n v="1048.3000000000002"/>
    <n v="0.24675752654002781"/>
  </r>
  <r>
    <x v="76"/>
    <x v="71"/>
    <x v="2"/>
    <x v="6"/>
    <x v="3"/>
    <x v="0"/>
    <n v="3"/>
    <n v="2999"/>
    <n v="0.05"/>
    <x v="2"/>
    <n v="8547.15"/>
    <n v="1800"/>
    <n v="3147.1499999999996"/>
    <n v="0.36821045611695125"/>
  </r>
  <r>
    <x v="77"/>
    <x v="72"/>
    <x v="56"/>
    <x v="10"/>
    <x v="2"/>
    <x v="2"/>
    <n v="3"/>
    <n v="1299"/>
    <n v="0"/>
    <x v="1"/>
    <n v="3897"/>
    <n v="750"/>
    <n v="1647"/>
    <n v="0.42263279445727481"/>
  </r>
  <r>
    <x v="78"/>
    <x v="73"/>
    <x v="65"/>
    <x v="1"/>
    <x v="0"/>
    <x v="3"/>
    <n v="2"/>
    <n v="2499"/>
    <n v="0"/>
    <x v="4"/>
    <n v="4998"/>
    <n v="1600"/>
    <n v="1798"/>
    <n v="0.35974389755902358"/>
  </r>
  <r>
    <x v="79"/>
    <x v="74"/>
    <x v="36"/>
    <x v="4"/>
    <x v="0"/>
    <x v="0"/>
    <n v="1"/>
    <n v="3499"/>
    <n v="0.05"/>
    <x v="1"/>
    <n v="3324.0499999999997"/>
    <n v="2300"/>
    <n v="1024.0499999999997"/>
    <n v="0.30807298325837451"/>
  </r>
  <r>
    <x v="80"/>
    <x v="16"/>
    <x v="66"/>
    <x v="6"/>
    <x v="3"/>
    <x v="1"/>
    <n v="1"/>
    <n v="2999"/>
    <n v="0.05"/>
    <x v="1"/>
    <n v="2849.0499999999997"/>
    <n v="1800"/>
    <n v="1049.0499999999997"/>
    <n v="0.36821045611695119"/>
  </r>
  <r>
    <x v="81"/>
    <x v="75"/>
    <x v="67"/>
    <x v="2"/>
    <x v="1"/>
    <x v="2"/>
    <n v="4"/>
    <n v="3999"/>
    <n v="0"/>
    <x v="2"/>
    <n v="15996"/>
    <n v="2600"/>
    <n v="5596"/>
    <n v="0.34983745936484123"/>
  </r>
  <r>
    <x v="82"/>
    <x v="76"/>
    <x v="68"/>
    <x v="3"/>
    <x v="2"/>
    <x v="2"/>
    <n v="3"/>
    <n v="599"/>
    <n v="0.15"/>
    <x v="3"/>
    <n v="1527.45"/>
    <n v="300"/>
    <n v="627.45000000000005"/>
    <n v="0.41078267701070414"/>
  </r>
  <r>
    <x v="83"/>
    <x v="77"/>
    <x v="69"/>
    <x v="10"/>
    <x v="2"/>
    <x v="2"/>
    <n v="2"/>
    <n v="1299"/>
    <n v="0"/>
    <x v="0"/>
    <n v="2598"/>
    <n v="750"/>
    <n v="1098"/>
    <n v="0.42263279445727481"/>
  </r>
  <r>
    <x v="84"/>
    <x v="78"/>
    <x v="70"/>
    <x v="7"/>
    <x v="1"/>
    <x v="0"/>
    <n v="2"/>
    <n v="799"/>
    <n v="0.05"/>
    <x v="2"/>
    <n v="1518.1"/>
    <n v="400"/>
    <n v="718.09999999999991"/>
    <n v="0.47302549239180552"/>
  </r>
  <r>
    <x v="85"/>
    <x v="63"/>
    <x v="71"/>
    <x v="8"/>
    <x v="3"/>
    <x v="1"/>
    <n v="1"/>
    <n v="1799"/>
    <n v="0.05"/>
    <x v="0"/>
    <n v="1709.05"/>
    <n v="1000"/>
    <n v="709.05"/>
    <n v="0.41487961148006203"/>
  </r>
  <r>
    <x v="86"/>
    <x v="79"/>
    <x v="72"/>
    <x v="4"/>
    <x v="0"/>
    <x v="3"/>
    <n v="3"/>
    <n v="3499"/>
    <n v="0"/>
    <x v="2"/>
    <n v="10497"/>
    <n v="2300"/>
    <n v="3597"/>
    <n v="0.34266933409545586"/>
  </r>
  <r>
    <x v="87"/>
    <x v="80"/>
    <x v="41"/>
    <x v="11"/>
    <x v="3"/>
    <x v="2"/>
    <n v="1"/>
    <n v="999"/>
    <n v="0.1"/>
    <x v="4"/>
    <n v="899.1"/>
    <n v="550"/>
    <n v="349.1"/>
    <n v="0.38827716605494383"/>
  </r>
  <r>
    <x v="88"/>
    <x v="75"/>
    <x v="73"/>
    <x v="1"/>
    <x v="0"/>
    <x v="1"/>
    <n v="2"/>
    <n v="2499"/>
    <n v="0.1"/>
    <x v="4"/>
    <n v="4498.2"/>
    <n v="1600"/>
    <n v="1298.1999999999998"/>
    <n v="0.28860433062113733"/>
  </r>
  <r>
    <x v="89"/>
    <x v="81"/>
    <x v="74"/>
    <x v="1"/>
    <x v="0"/>
    <x v="1"/>
    <n v="3"/>
    <n v="2499"/>
    <n v="0.1"/>
    <x v="1"/>
    <n v="6747.3"/>
    <n v="1600"/>
    <n v="1947.3000000000002"/>
    <n v="0.28860433062113738"/>
  </r>
  <r>
    <x v="90"/>
    <x v="55"/>
    <x v="75"/>
    <x v="2"/>
    <x v="1"/>
    <x v="1"/>
    <n v="1"/>
    <n v="3999"/>
    <n v="0"/>
    <x v="3"/>
    <n v="3999"/>
    <n v="2600"/>
    <n v="1399"/>
    <n v="0.34983745936484123"/>
  </r>
  <r>
    <x v="91"/>
    <x v="82"/>
    <x v="76"/>
    <x v="9"/>
    <x v="1"/>
    <x v="1"/>
    <n v="1"/>
    <n v="1499"/>
    <n v="0.05"/>
    <x v="1"/>
    <n v="1424.05"/>
    <n v="800"/>
    <n v="624.04999999999995"/>
    <n v="0.43822197254309891"/>
  </r>
  <r>
    <x v="92"/>
    <x v="83"/>
    <x v="77"/>
    <x v="2"/>
    <x v="1"/>
    <x v="2"/>
    <n v="1"/>
    <n v="3999"/>
    <n v="0"/>
    <x v="2"/>
    <n v="3999"/>
    <n v="2600"/>
    <n v="1399"/>
    <n v="0.34983745936484123"/>
  </r>
  <r>
    <x v="93"/>
    <x v="84"/>
    <x v="78"/>
    <x v="2"/>
    <x v="1"/>
    <x v="1"/>
    <n v="2"/>
    <n v="3999"/>
    <n v="0.1"/>
    <x v="4"/>
    <n v="7198.2"/>
    <n v="2600"/>
    <n v="1998.1999999999998"/>
    <n v="0.27759717707204579"/>
  </r>
  <r>
    <x v="94"/>
    <x v="85"/>
    <x v="79"/>
    <x v="1"/>
    <x v="0"/>
    <x v="1"/>
    <n v="3"/>
    <n v="2499"/>
    <n v="0.05"/>
    <x v="4"/>
    <n v="7122.15"/>
    <n v="1600"/>
    <n v="2322.1499999999996"/>
    <n v="0.3260462079568669"/>
  </r>
  <r>
    <x v="95"/>
    <x v="23"/>
    <x v="72"/>
    <x v="7"/>
    <x v="1"/>
    <x v="3"/>
    <n v="1"/>
    <n v="799"/>
    <n v="0.05"/>
    <x v="0"/>
    <n v="759.05"/>
    <n v="400"/>
    <n v="359.04999999999995"/>
    <n v="0.47302549239180552"/>
  </r>
  <r>
    <x v="96"/>
    <x v="75"/>
    <x v="20"/>
    <x v="1"/>
    <x v="0"/>
    <x v="2"/>
    <n v="1"/>
    <n v="2499"/>
    <n v="0.05"/>
    <x v="1"/>
    <n v="2374.0499999999997"/>
    <n v="1600"/>
    <n v="774.04999999999973"/>
    <n v="0.3260462079568669"/>
  </r>
  <r>
    <x v="97"/>
    <x v="86"/>
    <x v="80"/>
    <x v="9"/>
    <x v="1"/>
    <x v="2"/>
    <n v="2"/>
    <n v="1499"/>
    <n v="0.1"/>
    <x v="2"/>
    <n v="2698.2000000000003"/>
    <n v="800"/>
    <n v="1098.2000000000003"/>
    <n v="0.40701208212882667"/>
  </r>
  <r>
    <x v="98"/>
    <x v="87"/>
    <x v="81"/>
    <x v="3"/>
    <x v="2"/>
    <x v="1"/>
    <n v="1"/>
    <n v="599"/>
    <n v="0"/>
    <x v="4"/>
    <n v="599"/>
    <n v="300"/>
    <n v="299"/>
    <n v="0.4991652754590985"/>
  </r>
  <r>
    <x v="99"/>
    <x v="72"/>
    <x v="82"/>
    <x v="11"/>
    <x v="3"/>
    <x v="3"/>
    <n v="2"/>
    <n v="999"/>
    <n v="0.1"/>
    <x v="0"/>
    <n v="1798.2"/>
    <n v="550"/>
    <n v="698.2"/>
    <n v="0.38827716605494383"/>
  </r>
  <r>
    <x v="100"/>
    <x v="88"/>
    <x v="83"/>
    <x v="4"/>
    <x v="0"/>
    <x v="3"/>
    <n v="2"/>
    <n v="3499"/>
    <n v="0.05"/>
    <x v="4"/>
    <n v="6648.0999999999995"/>
    <n v="2300"/>
    <n v="2048.0999999999995"/>
    <n v="0.30807298325837451"/>
  </r>
  <r>
    <x v="101"/>
    <x v="89"/>
    <x v="84"/>
    <x v="9"/>
    <x v="1"/>
    <x v="0"/>
    <n v="3"/>
    <n v="1499"/>
    <n v="0.05"/>
    <x v="0"/>
    <n v="4272.1499999999996"/>
    <n v="800"/>
    <n v="1872.1499999999996"/>
    <n v="0.43822197254309886"/>
  </r>
  <r>
    <x v="102"/>
    <x v="90"/>
    <x v="50"/>
    <x v="11"/>
    <x v="3"/>
    <x v="2"/>
    <n v="2"/>
    <n v="999"/>
    <n v="0"/>
    <x v="2"/>
    <n v="1998"/>
    <n v="550"/>
    <n v="898"/>
    <n v="0.44944944944944942"/>
  </r>
  <r>
    <x v="103"/>
    <x v="3"/>
    <x v="85"/>
    <x v="1"/>
    <x v="0"/>
    <x v="0"/>
    <n v="1"/>
    <n v="2499"/>
    <n v="0.05"/>
    <x v="4"/>
    <n v="2374.0499999999997"/>
    <n v="1600"/>
    <n v="774.04999999999973"/>
    <n v="0.3260462079568669"/>
  </r>
  <r>
    <x v="104"/>
    <x v="91"/>
    <x v="61"/>
    <x v="5"/>
    <x v="2"/>
    <x v="2"/>
    <n v="2"/>
    <n v="399"/>
    <n v="0.05"/>
    <x v="3"/>
    <n v="758.09999999999991"/>
    <n v="180"/>
    <n v="398.09999999999991"/>
    <n v="0.52512861100118713"/>
  </r>
  <r>
    <x v="105"/>
    <x v="27"/>
    <x v="68"/>
    <x v="9"/>
    <x v="1"/>
    <x v="0"/>
    <n v="2"/>
    <n v="1499"/>
    <n v="0"/>
    <x v="0"/>
    <n v="2998"/>
    <n v="800"/>
    <n v="1398"/>
    <n v="0.46631087391594395"/>
  </r>
  <r>
    <x v="106"/>
    <x v="7"/>
    <x v="12"/>
    <x v="1"/>
    <x v="0"/>
    <x v="0"/>
    <n v="2"/>
    <n v="2499"/>
    <n v="0.2"/>
    <x v="1"/>
    <n v="3998.4"/>
    <n v="1600"/>
    <n v="798.40000000000009"/>
    <n v="0.19967987194877954"/>
  </r>
  <r>
    <x v="107"/>
    <x v="92"/>
    <x v="86"/>
    <x v="3"/>
    <x v="2"/>
    <x v="3"/>
    <n v="2"/>
    <n v="599"/>
    <n v="0.2"/>
    <x v="0"/>
    <n v="958.40000000000009"/>
    <n v="300"/>
    <n v="358.40000000000009"/>
    <n v="0.37395659432387318"/>
  </r>
  <r>
    <x v="108"/>
    <x v="68"/>
    <x v="18"/>
    <x v="10"/>
    <x v="2"/>
    <x v="0"/>
    <n v="1"/>
    <n v="1299"/>
    <n v="0"/>
    <x v="4"/>
    <n v="1299"/>
    <n v="750"/>
    <n v="549"/>
    <n v="0.42263279445727481"/>
  </r>
  <r>
    <x v="109"/>
    <x v="93"/>
    <x v="87"/>
    <x v="8"/>
    <x v="3"/>
    <x v="2"/>
    <n v="1"/>
    <n v="1799"/>
    <n v="0.15"/>
    <x v="0"/>
    <n v="1529.1499999999999"/>
    <n v="1000"/>
    <n v="529.14999999999986"/>
    <n v="0.34604191871301043"/>
  </r>
  <r>
    <x v="110"/>
    <x v="94"/>
    <x v="28"/>
    <x v="3"/>
    <x v="2"/>
    <x v="0"/>
    <n v="2"/>
    <n v="599"/>
    <n v="0.05"/>
    <x v="0"/>
    <n v="1138.0999999999999"/>
    <n v="300"/>
    <n v="538.09999999999991"/>
    <n v="0.47280555311484046"/>
  </r>
  <r>
    <x v="111"/>
    <x v="95"/>
    <x v="88"/>
    <x v="1"/>
    <x v="0"/>
    <x v="1"/>
    <n v="3"/>
    <n v="2499"/>
    <n v="0.05"/>
    <x v="3"/>
    <n v="7122.15"/>
    <n v="1600"/>
    <n v="2322.1499999999996"/>
    <n v="0.3260462079568669"/>
  </r>
  <r>
    <x v="112"/>
    <x v="96"/>
    <x v="89"/>
    <x v="0"/>
    <x v="0"/>
    <x v="3"/>
    <n v="1"/>
    <n v="1999"/>
    <n v="0.15"/>
    <x v="0"/>
    <n v="1699.1499999999999"/>
    <n v="1200"/>
    <n v="499.14999999999986"/>
    <n v="0.29376452932348524"/>
  </r>
  <r>
    <x v="113"/>
    <x v="31"/>
    <x v="90"/>
    <x v="8"/>
    <x v="3"/>
    <x v="0"/>
    <n v="3"/>
    <n v="1799"/>
    <n v="0.1"/>
    <x v="3"/>
    <n v="4857.3"/>
    <n v="1000"/>
    <n v="1857.3000000000002"/>
    <n v="0.38237292322895439"/>
  </r>
  <r>
    <x v="114"/>
    <x v="5"/>
    <x v="91"/>
    <x v="11"/>
    <x v="3"/>
    <x v="2"/>
    <n v="1"/>
    <n v="999"/>
    <n v="0.05"/>
    <x v="4"/>
    <n v="949.05"/>
    <n v="550"/>
    <n v="399.04999999999995"/>
    <n v="0.42047310468363097"/>
  </r>
  <r>
    <x v="115"/>
    <x v="64"/>
    <x v="92"/>
    <x v="0"/>
    <x v="0"/>
    <x v="0"/>
    <n v="2"/>
    <n v="1999"/>
    <n v="0.1"/>
    <x v="1"/>
    <n v="3598.2000000000003"/>
    <n v="1200"/>
    <n v="1198.2000000000003"/>
    <n v="0.33299983324995835"/>
  </r>
  <r>
    <x v="116"/>
    <x v="45"/>
    <x v="93"/>
    <x v="1"/>
    <x v="0"/>
    <x v="1"/>
    <n v="1"/>
    <n v="2499"/>
    <n v="0"/>
    <x v="1"/>
    <n v="2499"/>
    <n v="1600"/>
    <n v="899"/>
    <n v="0.35974389755902358"/>
  </r>
  <r>
    <x v="117"/>
    <x v="97"/>
    <x v="50"/>
    <x v="11"/>
    <x v="3"/>
    <x v="1"/>
    <n v="2"/>
    <n v="999"/>
    <n v="0.05"/>
    <x v="1"/>
    <n v="1898.1"/>
    <n v="550"/>
    <n v="798.09999999999991"/>
    <n v="0.42047310468363097"/>
  </r>
  <r>
    <x v="118"/>
    <x v="98"/>
    <x v="42"/>
    <x v="9"/>
    <x v="1"/>
    <x v="0"/>
    <n v="3"/>
    <n v="1499"/>
    <n v="0"/>
    <x v="4"/>
    <n v="4497"/>
    <n v="800"/>
    <n v="2097"/>
    <n v="0.46631087391594395"/>
  </r>
  <r>
    <x v="119"/>
    <x v="99"/>
    <x v="3"/>
    <x v="7"/>
    <x v="1"/>
    <x v="1"/>
    <n v="3"/>
    <n v="799"/>
    <n v="0"/>
    <x v="3"/>
    <n v="2397"/>
    <n v="400"/>
    <n v="1197"/>
    <n v="0.49937421777221525"/>
  </r>
  <r>
    <x v="120"/>
    <x v="100"/>
    <x v="94"/>
    <x v="4"/>
    <x v="0"/>
    <x v="1"/>
    <n v="4"/>
    <n v="3499"/>
    <n v="0.15"/>
    <x v="0"/>
    <n v="11896.6"/>
    <n v="2300"/>
    <n v="2696.6000000000004"/>
    <n v="0.22666980481818336"/>
  </r>
  <r>
    <x v="121"/>
    <x v="101"/>
    <x v="95"/>
    <x v="2"/>
    <x v="1"/>
    <x v="3"/>
    <n v="2"/>
    <n v="3999"/>
    <n v="0.05"/>
    <x v="2"/>
    <n v="7598.0999999999995"/>
    <n v="2600"/>
    <n v="2398.0999999999995"/>
    <n v="0.3156183782787802"/>
  </r>
  <r>
    <x v="122"/>
    <x v="102"/>
    <x v="76"/>
    <x v="9"/>
    <x v="1"/>
    <x v="3"/>
    <n v="1"/>
    <n v="1499"/>
    <n v="0.05"/>
    <x v="3"/>
    <n v="1424.05"/>
    <n v="800"/>
    <n v="624.04999999999995"/>
    <n v="0.43822197254309891"/>
  </r>
  <r>
    <x v="123"/>
    <x v="74"/>
    <x v="96"/>
    <x v="11"/>
    <x v="3"/>
    <x v="2"/>
    <n v="1"/>
    <n v="999"/>
    <n v="0"/>
    <x v="4"/>
    <n v="999"/>
    <n v="550"/>
    <n v="449"/>
    <n v="0.44944944944944942"/>
  </r>
  <r>
    <x v="124"/>
    <x v="103"/>
    <x v="73"/>
    <x v="0"/>
    <x v="0"/>
    <x v="1"/>
    <n v="1"/>
    <n v="1999"/>
    <n v="0.2"/>
    <x v="4"/>
    <n v="1599.2"/>
    <n v="1200"/>
    <n v="399.20000000000005"/>
    <n v="0.24962481240620313"/>
  </r>
  <r>
    <x v="125"/>
    <x v="60"/>
    <x v="49"/>
    <x v="4"/>
    <x v="0"/>
    <x v="3"/>
    <n v="2"/>
    <n v="3499"/>
    <n v="0.1"/>
    <x v="1"/>
    <n v="6298.2"/>
    <n v="2300"/>
    <n v="1698.1999999999998"/>
    <n v="0.26963259343939538"/>
  </r>
  <r>
    <x v="126"/>
    <x v="104"/>
    <x v="57"/>
    <x v="7"/>
    <x v="1"/>
    <x v="2"/>
    <n v="3"/>
    <n v="799"/>
    <n v="0.2"/>
    <x v="4"/>
    <n v="1917.6000000000001"/>
    <n v="400"/>
    <n v="717.60000000000014"/>
    <n v="0.37421777221526914"/>
  </r>
  <r>
    <x v="127"/>
    <x v="105"/>
    <x v="97"/>
    <x v="5"/>
    <x v="2"/>
    <x v="3"/>
    <n v="2"/>
    <n v="399"/>
    <n v="0.15"/>
    <x v="2"/>
    <n v="678.3"/>
    <n v="180"/>
    <n v="318.29999999999995"/>
    <n v="0.46926138876603268"/>
  </r>
  <r>
    <x v="128"/>
    <x v="106"/>
    <x v="96"/>
    <x v="3"/>
    <x v="2"/>
    <x v="1"/>
    <n v="2"/>
    <n v="599"/>
    <n v="0.05"/>
    <x v="2"/>
    <n v="1138.0999999999999"/>
    <n v="300"/>
    <n v="538.09999999999991"/>
    <n v="0.47280555311484046"/>
  </r>
  <r>
    <x v="129"/>
    <x v="107"/>
    <x v="12"/>
    <x v="3"/>
    <x v="2"/>
    <x v="2"/>
    <n v="1"/>
    <n v="599"/>
    <n v="0.2"/>
    <x v="3"/>
    <n v="479.20000000000005"/>
    <n v="300"/>
    <n v="179.20000000000005"/>
    <n v="0.37395659432387318"/>
  </r>
  <r>
    <x v="130"/>
    <x v="108"/>
    <x v="54"/>
    <x v="8"/>
    <x v="3"/>
    <x v="3"/>
    <n v="2"/>
    <n v="1799"/>
    <n v="0"/>
    <x v="3"/>
    <n v="3598"/>
    <n v="1000"/>
    <n v="1598"/>
    <n v="0.4441356309060589"/>
  </r>
  <r>
    <x v="131"/>
    <x v="109"/>
    <x v="98"/>
    <x v="11"/>
    <x v="3"/>
    <x v="0"/>
    <n v="3"/>
    <n v="999"/>
    <n v="0"/>
    <x v="4"/>
    <n v="2997"/>
    <n v="550"/>
    <n v="1347"/>
    <n v="0.44944944944944942"/>
  </r>
  <r>
    <x v="132"/>
    <x v="110"/>
    <x v="34"/>
    <x v="11"/>
    <x v="3"/>
    <x v="0"/>
    <n v="1"/>
    <n v="999"/>
    <n v="0.2"/>
    <x v="1"/>
    <n v="799.2"/>
    <n v="550"/>
    <n v="249.20000000000005"/>
    <n v="0.31181181181181183"/>
  </r>
  <r>
    <x v="133"/>
    <x v="83"/>
    <x v="99"/>
    <x v="0"/>
    <x v="0"/>
    <x v="1"/>
    <n v="2"/>
    <n v="1999"/>
    <n v="0"/>
    <x v="2"/>
    <n v="3998"/>
    <n v="1200"/>
    <n v="1598"/>
    <n v="0.39969984992496249"/>
  </r>
  <r>
    <x v="134"/>
    <x v="111"/>
    <x v="94"/>
    <x v="4"/>
    <x v="0"/>
    <x v="3"/>
    <n v="2"/>
    <n v="3499"/>
    <n v="0.1"/>
    <x v="2"/>
    <n v="6298.2"/>
    <n v="2300"/>
    <n v="1698.1999999999998"/>
    <n v="0.26963259343939538"/>
  </r>
  <r>
    <x v="135"/>
    <x v="112"/>
    <x v="100"/>
    <x v="10"/>
    <x v="2"/>
    <x v="0"/>
    <n v="2"/>
    <n v="1299"/>
    <n v="0"/>
    <x v="3"/>
    <n v="2598"/>
    <n v="750"/>
    <n v="1098"/>
    <n v="0.42263279445727481"/>
  </r>
  <r>
    <x v="136"/>
    <x v="37"/>
    <x v="101"/>
    <x v="1"/>
    <x v="0"/>
    <x v="2"/>
    <n v="1"/>
    <n v="2499"/>
    <n v="0.1"/>
    <x v="4"/>
    <n v="2249.1"/>
    <n v="1600"/>
    <n v="649.09999999999991"/>
    <n v="0.28860433062113733"/>
  </r>
  <r>
    <x v="137"/>
    <x v="62"/>
    <x v="102"/>
    <x v="0"/>
    <x v="0"/>
    <x v="2"/>
    <n v="1"/>
    <n v="1999"/>
    <n v="0"/>
    <x v="1"/>
    <n v="1999"/>
    <n v="1200"/>
    <n v="799"/>
    <n v="0.39969984992496249"/>
  </r>
  <r>
    <x v="138"/>
    <x v="113"/>
    <x v="103"/>
    <x v="11"/>
    <x v="3"/>
    <x v="2"/>
    <n v="1"/>
    <n v="999"/>
    <n v="0.05"/>
    <x v="2"/>
    <n v="949.05"/>
    <n v="550"/>
    <n v="399.04999999999995"/>
    <n v="0.42047310468363097"/>
  </r>
  <r>
    <x v="139"/>
    <x v="114"/>
    <x v="58"/>
    <x v="9"/>
    <x v="1"/>
    <x v="2"/>
    <n v="1"/>
    <n v="1499"/>
    <n v="0.05"/>
    <x v="0"/>
    <n v="1424.05"/>
    <n v="800"/>
    <n v="624.04999999999995"/>
    <n v="0.43822197254309891"/>
  </r>
  <r>
    <x v="140"/>
    <x v="115"/>
    <x v="62"/>
    <x v="9"/>
    <x v="1"/>
    <x v="0"/>
    <n v="4"/>
    <n v="1499"/>
    <n v="0.05"/>
    <x v="2"/>
    <n v="5696.2"/>
    <n v="800"/>
    <n v="2496.1999999999998"/>
    <n v="0.43822197254309891"/>
  </r>
  <r>
    <x v="141"/>
    <x v="50"/>
    <x v="22"/>
    <x v="8"/>
    <x v="3"/>
    <x v="1"/>
    <n v="4"/>
    <n v="1799"/>
    <n v="0"/>
    <x v="2"/>
    <n v="7196"/>
    <n v="1000"/>
    <n v="3196"/>
    <n v="0.4441356309060589"/>
  </r>
  <r>
    <x v="142"/>
    <x v="8"/>
    <x v="104"/>
    <x v="11"/>
    <x v="3"/>
    <x v="0"/>
    <n v="1"/>
    <n v="999"/>
    <n v="0"/>
    <x v="0"/>
    <n v="999"/>
    <n v="550"/>
    <n v="449"/>
    <n v="0.44944944944944942"/>
  </r>
  <r>
    <x v="143"/>
    <x v="116"/>
    <x v="39"/>
    <x v="5"/>
    <x v="2"/>
    <x v="1"/>
    <n v="2"/>
    <n v="399"/>
    <n v="0.05"/>
    <x v="4"/>
    <n v="758.09999999999991"/>
    <n v="180"/>
    <n v="398.09999999999991"/>
    <n v="0.52512861100118713"/>
  </r>
  <r>
    <x v="144"/>
    <x v="117"/>
    <x v="105"/>
    <x v="6"/>
    <x v="3"/>
    <x v="2"/>
    <n v="4"/>
    <n v="2999"/>
    <n v="0.1"/>
    <x v="3"/>
    <n v="10796.4"/>
    <n v="1800"/>
    <n v="3596.3999999999996"/>
    <n v="0.33311103701233741"/>
  </r>
  <r>
    <x v="145"/>
    <x v="50"/>
    <x v="92"/>
    <x v="1"/>
    <x v="0"/>
    <x v="3"/>
    <n v="1"/>
    <n v="2499"/>
    <n v="0.1"/>
    <x v="1"/>
    <n v="2249.1"/>
    <n v="1600"/>
    <n v="649.09999999999991"/>
    <n v="0.28860433062113733"/>
  </r>
  <r>
    <x v="146"/>
    <x v="118"/>
    <x v="57"/>
    <x v="1"/>
    <x v="0"/>
    <x v="1"/>
    <n v="3"/>
    <n v="2499"/>
    <n v="0.1"/>
    <x v="2"/>
    <n v="6747.3"/>
    <n v="1600"/>
    <n v="1947.3000000000002"/>
    <n v="0.28860433062113738"/>
  </r>
  <r>
    <x v="147"/>
    <x v="119"/>
    <x v="106"/>
    <x v="3"/>
    <x v="2"/>
    <x v="1"/>
    <n v="4"/>
    <n v="599"/>
    <n v="0"/>
    <x v="4"/>
    <n v="2396"/>
    <n v="300"/>
    <n v="1196"/>
    <n v="0.4991652754590985"/>
  </r>
  <r>
    <x v="148"/>
    <x v="120"/>
    <x v="107"/>
    <x v="6"/>
    <x v="3"/>
    <x v="0"/>
    <n v="1"/>
    <n v="2999"/>
    <n v="0.05"/>
    <x v="1"/>
    <n v="2849.0499999999997"/>
    <n v="1800"/>
    <n v="1049.0499999999997"/>
    <n v="0.36821045611695119"/>
  </r>
  <r>
    <x v="149"/>
    <x v="121"/>
    <x v="36"/>
    <x v="2"/>
    <x v="1"/>
    <x v="0"/>
    <n v="3"/>
    <n v="3999"/>
    <n v="0.1"/>
    <x v="2"/>
    <n v="10797.300000000001"/>
    <n v="2600"/>
    <n v="2997.3000000000011"/>
    <n v="0.27759717707204584"/>
  </r>
  <r>
    <x v="150"/>
    <x v="122"/>
    <x v="108"/>
    <x v="10"/>
    <x v="2"/>
    <x v="3"/>
    <n v="2"/>
    <n v="1299"/>
    <n v="0"/>
    <x v="0"/>
    <n v="2598"/>
    <n v="750"/>
    <n v="1098"/>
    <n v="0.42263279445727481"/>
  </r>
  <r>
    <x v="151"/>
    <x v="123"/>
    <x v="109"/>
    <x v="7"/>
    <x v="1"/>
    <x v="3"/>
    <n v="2"/>
    <n v="799"/>
    <n v="0"/>
    <x v="3"/>
    <n v="1598"/>
    <n v="400"/>
    <n v="798"/>
    <n v="0.49937421777221525"/>
  </r>
  <r>
    <x v="152"/>
    <x v="124"/>
    <x v="47"/>
    <x v="6"/>
    <x v="3"/>
    <x v="3"/>
    <n v="2"/>
    <n v="2999"/>
    <n v="0.05"/>
    <x v="1"/>
    <n v="5698.0999999999995"/>
    <n v="1800"/>
    <n v="2098.0999999999995"/>
    <n v="0.36821045611695119"/>
  </r>
  <r>
    <x v="153"/>
    <x v="125"/>
    <x v="86"/>
    <x v="1"/>
    <x v="0"/>
    <x v="3"/>
    <n v="1"/>
    <n v="2499"/>
    <n v="0.05"/>
    <x v="4"/>
    <n v="2374.0499999999997"/>
    <n v="1600"/>
    <n v="774.04999999999973"/>
    <n v="0.3260462079568669"/>
  </r>
  <r>
    <x v="154"/>
    <x v="126"/>
    <x v="54"/>
    <x v="6"/>
    <x v="3"/>
    <x v="1"/>
    <n v="1"/>
    <n v="2999"/>
    <n v="0.05"/>
    <x v="3"/>
    <n v="2849.0499999999997"/>
    <n v="1800"/>
    <n v="1049.0499999999997"/>
    <n v="0.36821045611695119"/>
  </r>
  <r>
    <x v="155"/>
    <x v="127"/>
    <x v="109"/>
    <x v="10"/>
    <x v="2"/>
    <x v="0"/>
    <n v="2"/>
    <n v="1299"/>
    <n v="0.05"/>
    <x v="3"/>
    <n v="2468.1"/>
    <n v="750"/>
    <n v="968.09999999999991"/>
    <n v="0.39224504679713135"/>
  </r>
  <r>
    <x v="156"/>
    <x v="128"/>
    <x v="110"/>
    <x v="9"/>
    <x v="1"/>
    <x v="0"/>
    <n v="3"/>
    <n v="1499"/>
    <n v="0.1"/>
    <x v="0"/>
    <n v="4047.3"/>
    <n v="800"/>
    <n v="1647.3000000000002"/>
    <n v="0.40701208212882667"/>
  </r>
  <r>
    <x v="157"/>
    <x v="129"/>
    <x v="94"/>
    <x v="0"/>
    <x v="0"/>
    <x v="3"/>
    <n v="1"/>
    <n v="1999"/>
    <n v="0.05"/>
    <x v="1"/>
    <n v="1899.05"/>
    <n v="1200"/>
    <n v="699.05"/>
    <n v="0.368105105184171"/>
  </r>
  <r>
    <x v="158"/>
    <x v="118"/>
    <x v="18"/>
    <x v="5"/>
    <x v="2"/>
    <x v="0"/>
    <n v="2"/>
    <n v="399"/>
    <n v="0"/>
    <x v="3"/>
    <n v="798"/>
    <n v="180"/>
    <n v="438"/>
    <n v="0.54887218045112784"/>
  </r>
  <r>
    <x v="159"/>
    <x v="130"/>
    <x v="43"/>
    <x v="8"/>
    <x v="3"/>
    <x v="3"/>
    <n v="4"/>
    <n v="1799"/>
    <n v="0.15"/>
    <x v="2"/>
    <n v="6116.5999999999995"/>
    <n v="1000"/>
    <n v="2116.5999999999995"/>
    <n v="0.34604191871301043"/>
  </r>
  <r>
    <x v="160"/>
    <x v="131"/>
    <x v="70"/>
    <x v="1"/>
    <x v="0"/>
    <x v="0"/>
    <n v="2"/>
    <n v="2499"/>
    <n v="0"/>
    <x v="2"/>
    <n v="4998"/>
    <n v="1600"/>
    <n v="1798"/>
    <n v="0.35974389755902358"/>
  </r>
  <r>
    <x v="161"/>
    <x v="70"/>
    <x v="111"/>
    <x v="1"/>
    <x v="0"/>
    <x v="1"/>
    <n v="3"/>
    <n v="2499"/>
    <n v="0"/>
    <x v="2"/>
    <n v="7497"/>
    <n v="1600"/>
    <n v="2697"/>
    <n v="0.35974389755902358"/>
  </r>
  <r>
    <x v="162"/>
    <x v="132"/>
    <x v="63"/>
    <x v="9"/>
    <x v="1"/>
    <x v="3"/>
    <n v="2"/>
    <n v="1499"/>
    <n v="0.05"/>
    <x v="0"/>
    <n v="2848.1"/>
    <n v="800"/>
    <n v="1248.0999999999999"/>
    <n v="0.43822197254309891"/>
  </r>
  <r>
    <x v="163"/>
    <x v="117"/>
    <x v="112"/>
    <x v="11"/>
    <x v="3"/>
    <x v="3"/>
    <n v="1"/>
    <n v="999"/>
    <n v="0.15"/>
    <x v="3"/>
    <n v="849.15"/>
    <n v="550"/>
    <n v="299.14999999999998"/>
    <n v="0.35229346994052874"/>
  </r>
  <r>
    <x v="164"/>
    <x v="133"/>
    <x v="94"/>
    <x v="1"/>
    <x v="0"/>
    <x v="3"/>
    <n v="2"/>
    <n v="2499"/>
    <n v="0.05"/>
    <x v="2"/>
    <n v="4748.0999999999995"/>
    <n v="1600"/>
    <n v="1548.0999999999995"/>
    <n v="0.3260462079568669"/>
  </r>
  <r>
    <x v="165"/>
    <x v="58"/>
    <x v="113"/>
    <x v="0"/>
    <x v="0"/>
    <x v="2"/>
    <n v="4"/>
    <n v="1999"/>
    <n v="0"/>
    <x v="0"/>
    <n v="7996"/>
    <n v="1200"/>
    <n v="3196"/>
    <n v="0.39969984992496249"/>
  </r>
  <r>
    <x v="166"/>
    <x v="134"/>
    <x v="114"/>
    <x v="8"/>
    <x v="3"/>
    <x v="2"/>
    <n v="1"/>
    <n v="1799"/>
    <n v="0.05"/>
    <x v="3"/>
    <n v="1709.05"/>
    <n v="1000"/>
    <n v="709.05"/>
    <n v="0.41487961148006203"/>
  </r>
  <r>
    <x v="167"/>
    <x v="135"/>
    <x v="66"/>
    <x v="7"/>
    <x v="1"/>
    <x v="2"/>
    <n v="1"/>
    <n v="799"/>
    <n v="0.05"/>
    <x v="4"/>
    <n v="759.05"/>
    <n v="400"/>
    <n v="359.04999999999995"/>
    <n v="0.47302549239180552"/>
  </r>
  <r>
    <x v="168"/>
    <x v="11"/>
    <x v="11"/>
    <x v="5"/>
    <x v="2"/>
    <x v="0"/>
    <n v="1"/>
    <n v="399"/>
    <n v="0.05"/>
    <x v="4"/>
    <n v="379.04999999999995"/>
    <n v="180"/>
    <n v="199.04999999999995"/>
    <n v="0.52512861100118713"/>
  </r>
  <r>
    <x v="169"/>
    <x v="136"/>
    <x v="89"/>
    <x v="5"/>
    <x v="2"/>
    <x v="3"/>
    <n v="2"/>
    <n v="399"/>
    <n v="0.2"/>
    <x v="0"/>
    <n v="638.40000000000009"/>
    <n v="180"/>
    <n v="278.40000000000009"/>
    <n v="0.43609022556390986"/>
  </r>
  <r>
    <x v="170"/>
    <x v="137"/>
    <x v="115"/>
    <x v="10"/>
    <x v="2"/>
    <x v="2"/>
    <n v="4"/>
    <n v="1299"/>
    <n v="0.15"/>
    <x v="0"/>
    <n v="4416.5999999999995"/>
    <n v="750"/>
    <n v="1416.5999999999995"/>
    <n v="0.32074446406738205"/>
  </r>
  <r>
    <x v="171"/>
    <x v="91"/>
    <x v="41"/>
    <x v="7"/>
    <x v="1"/>
    <x v="1"/>
    <n v="2"/>
    <n v="799"/>
    <n v="0.2"/>
    <x v="4"/>
    <n v="1278.4000000000001"/>
    <n v="400"/>
    <n v="478.40000000000009"/>
    <n v="0.37421777221526914"/>
  </r>
  <r>
    <x v="172"/>
    <x v="138"/>
    <x v="22"/>
    <x v="2"/>
    <x v="1"/>
    <x v="0"/>
    <n v="1"/>
    <n v="3999"/>
    <n v="0.15"/>
    <x v="3"/>
    <n v="3399.15"/>
    <n v="2600"/>
    <n v="799.15000000000009"/>
    <n v="0.23510289337040144"/>
  </r>
  <r>
    <x v="173"/>
    <x v="92"/>
    <x v="112"/>
    <x v="5"/>
    <x v="2"/>
    <x v="1"/>
    <n v="3"/>
    <n v="399"/>
    <n v="0.1"/>
    <x v="4"/>
    <n v="1077.3"/>
    <n v="180"/>
    <n v="537.29999999999995"/>
    <n v="0.49874686716791977"/>
  </r>
  <r>
    <x v="174"/>
    <x v="139"/>
    <x v="116"/>
    <x v="8"/>
    <x v="3"/>
    <x v="1"/>
    <n v="1"/>
    <n v="1799"/>
    <n v="0"/>
    <x v="1"/>
    <n v="1799"/>
    <n v="1000"/>
    <n v="799"/>
    <n v="0.4441356309060589"/>
  </r>
  <r>
    <x v="175"/>
    <x v="140"/>
    <x v="117"/>
    <x v="10"/>
    <x v="2"/>
    <x v="3"/>
    <n v="2"/>
    <n v="1299"/>
    <n v="0"/>
    <x v="0"/>
    <n v="2598"/>
    <n v="750"/>
    <n v="1098"/>
    <n v="0.42263279445727481"/>
  </r>
  <r>
    <x v="176"/>
    <x v="141"/>
    <x v="118"/>
    <x v="8"/>
    <x v="3"/>
    <x v="2"/>
    <n v="1"/>
    <n v="1799"/>
    <n v="0"/>
    <x v="4"/>
    <n v="1799"/>
    <n v="1000"/>
    <n v="799"/>
    <n v="0.4441356309060589"/>
  </r>
  <r>
    <x v="177"/>
    <x v="142"/>
    <x v="81"/>
    <x v="1"/>
    <x v="0"/>
    <x v="1"/>
    <n v="2"/>
    <n v="2499"/>
    <n v="0"/>
    <x v="3"/>
    <n v="4998"/>
    <n v="1600"/>
    <n v="1798"/>
    <n v="0.35974389755902358"/>
  </r>
  <r>
    <x v="178"/>
    <x v="143"/>
    <x v="53"/>
    <x v="7"/>
    <x v="1"/>
    <x v="2"/>
    <n v="4"/>
    <n v="799"/>
    <n v="0"/>
    <x v="2"/>
    <n v="3196"/>
    <n v="400"/>
    <n v="1596"/>
    <n v="0.49937421777221525"/>
  </r>
  <r>
    <x v="179"/>
    <x v="144"/>
    <x v="89"/>
    <x v="1"/>
    <x v="0"/>
    <x v="1"/>
    <n v="2"/>
    <n v="2499"/>
    <n v="0.15"/>
    <x v="0"/>
    <n v="4248.3"/>
    <n v="1600"/>
    <n v="1048.3000000000002"/>
    <n v="0.24675752654002781"/>
  </r>
  <r>
    <x v="180"/>
    <x v="114"/>
    <x v="23"/>
    <x v="4"/>
    <x v="0"/>
    <x v="3"/>
    <n v="1"/>
    <n v="3499"/>
    <n v="0"/>
    <x v="2"/>
    <n v="3499"/>
    <n v="2300"/>
    <n v="1199"/>
    <n v="0.34266933409545586"/>
  </r>
  <r>
    <x v="181"/>
    <x v="59"/>
    <x v="43"/>
    <x v="3"/>
    <x v="2"/>
    <x v="1"/>
    <n v="2"/>
    <n v="599"/>
    <n v="0.1"/>
    <x v="0"/>
    <n v="1078.2"/>
    <n v="300"/>
    <n v="478.20000000000005"/>
    <n v="0.4435169727323317"/>
  </r>
  <r>
    <x v="182"/>
    <x v="12"/>
    <x v="74"/>
    <x v="8"/>
    <x v="3"/>
    <x v="2"/>
    <n v="2"/>
    <n v="1799"/>
    <n v="0"/>
    <x v="1"/>
    <n v="3598"/>
    <n v="1000"/>
    <n v="1598"/>
    <n v="0.4441356309060589"/>
  </r>
  <r>
    <x v="183"/>
    <x v="145"/>
    <x v="70"/>
    <x v="11"/>
    <x v="3"/>
    <x v="3"/>
    <n v="1"/>
    <n v="999"/>
    <n v="0.1"/>
    <x v="2"/>
    <n v="899.1"/>
    <n v="550"/>
    <n v="349.1"/>
    <n v="0.38827716605494383"/>
  </r>
  <r>
    <x v="184"/>
    <x v="146"/>
    <x v="119"/>
    <x v="3"/>
    <x v="2"/>
    <x v="2"/>
    <n v="1"/>
    <n v="599"/>
    <n v="0"/>
    <x v="0"/>
    <n v="599"/>
    <n v="300"/>
    <n v="299"/>
    <n v="0.4991652754590985"/>
  </r>
  <r>
    <x v="185"/>
    <x v="118"/>
    <x v="120"/>
    <x v="1"/>
    <x v="0"/>
    <x v="3"/>
    <n v="1"/>
    <n v="2499"/>
    <n v="0.1"/>
    <x v="1"/>
    <n v="2249.1"/>
    <n v="1600"/>
    <n v="649.09999999999991"/>
    <n v="0.28860433062113733"/>
  </r>
  <r>
    <x v="186"/>
    <x v="147"/>
    <x v="121"/>
    <x v="2"/>
    <x v="1"/>
    <x v="1"/>
    <n v="4"/>
    <n v="3999"/>
    <n v="0.05"/>
    <x v="2"/>
    <n v="15196.199999999999"/>
    <n v="2600"/>
    <n v="4796.1999999999989"/>
    <n v="0.3156183782787802"/>
  </r>
  <r>
    <x v="187"/>
    <x v="9"/>
    <x v="119"/>
    <x v="6"/>
    <x v="3"/>
    <x v="3"/>
    <n v="3"/>
    <n v="2999"/>
    <n v="0.1"/>
    <x v="3"/>
    <n v="8097.3"/>
    <n v="1800"/>
    <n v="2697.3"/>
    <n v="0.33311103701233746"/>
  </r>
  <r>
    <x v="188"/>
    <x v="83"/>
    <x v="68"/>
    <x v="1"/>
    <x v="0"/>
    <x v="2"/>
    <n v="2"/>
    <n v="2499"/>
    <n v="0"/>
    <x v="1"/>
    <n v="4998"/>
    <n v="1600"/>
    <n v="1798"/>
    <n v="0.35974389755902358"/>
  </r>
  <r>
    <x v="189"/>
    <x v="148"/>
    <x v="122"/>
    <x v="8"/>
    <x v="3"/>
    <x v="0"/>
    <n v="1"/>
    <n v="1799"/>
    <n v="0.1"/>
    <x v="2"/>
    <n v="1619.1000000000001"/>
    <n v="1000"/>
    <n v="619.10000000000014"/>
    <n v="0.38237292322895439"/>
  </r>
  <r>
    <x v="190"/>
    <x v="149"/>
    <x v="71"/>
    <x v="2"/>
    <x v="1"/>
    <x v="3"/>
    <n v="2"/>
    <n v="3999"/>
    <n v="0.05"/>
    <x v="0"/>
    <n v="7598.0999999999995"/>
    <n v="2600"/>
    <n v="2398.0999999999995"/>
    <n v="0.3156183782787802"/>
  </r>
  <r>
    <x v="191"/>
    <x v="150"/>
    <x v="123"/>
    <x v="9"/>
    <x v="1"/>
    <x v="3"/>
    <n v="3"/>
    <n v="1499"/>
    <n v="0.15"/>
    <x v="0"/>
    <n v="3822.45"/>
    <n v="800"/>
    <n v="1422.4499999999998"/>
    <n v="0.3721304399011105"/>
  </r>
  <r>
    <x v="192"/>
    <x v="150"/>
    <x v="108"/>
    <x v="2"/>
    <x v="1"/>
    <x v="1"/>
    <n v="2"/>
    <n v="3999"/>
    <n v="0"/>
    <x v="0"/>
    <n v="7998"/>
    <n v="2600"/>
    <n v="2798"/>
    <n v="0.34983745936484123"/>
  </r>
  <r>
    <x v="193"/>
    <x v="151"/>
    <x v="124"/>
    <x v="6"/>
    <x v="3"/>
    <x v="3"/>
    <n v="1"/>
    <n v="2999"/>
    <n v="0"/>
    <x v="4"/>
    <n v="2999"/>
    <n v="1800"/>
    <n v="1199"/>
    <n v="0.39979993331110369"/>
  </r>
  <r>
    <x v="194"/>
    <x v="152"/>
    <x v="37"/>
    <x v="2"/>
    <x v="1"/>
    <x v="0"/>
    <n v="1"/>
    <n v="3999"/>
    <n v="0"/>
    <x v="3"/>
    <n v="3999"/>
    <n v="2600"/>
    <n v="1399"/>
    <n v="0.34983745936484123"/>
  </r>
  <r>
    <x v="195"/>
    <x v="153"/>
    <x v="63"/>
    <x v="1"/>
    <x v="0"/>
    <x v="2"/>
    <n v="1"/>
    <n v="2499"/>
    <n v="0.1"/>
    <x v="3"/>
    <n v="2249.1"/>
    <n v="1600"/>
    <n v="649.09999999999991"/>
    <n v="0.28860433062113733"/>
  </r>
  <r>
    <x v="196"/>
    <x v="154"/>
    <x v="66"/>
    <x v="3"/>
    <x v="2"/>
    <x v="3"/>
    <n v="1"/>
    <n v="599"/>
    <n v="0.05"/>
    <x v="2"/>
    <n v="569.04999999999995"/>
    <n v="300"/>
    <n v="269.04999999999995"/>
    <n v="0.47280555311484046"/>
  </r>
  <r>
    <x v="197"/>
    <x v="155"/>
    <x v="42"/>
    <x v="7"/>
    <x v="1"/>
    <x v="3"/>
    <n v="2"/>
    <n v="799"/>
    <n v="0.05"/>
    <x v="0"/>
    <n v="1518.1"/>
    <n v="400"/>
    <n v="718.09999999999991"/>
    <n v="0.47302549239180552"/>
  </r>
  <r>
    <x v="198"/>
    <x v="26"/>
    <x v="125"/>
    <x v="2"/>
    <x v="1"/>
    <x v="0"/>
    <n v="1"/>
    <n v="3999"/>
    <n v="0"/>
    <x v="1"/>
    <n v="3999"/>
    <n v="2600"/>
    <n v="1399"/>
    <n v="0.34983745936484123"/>
  </r>
  <r>
    <x v="199"/>
    <x v="156"/>
    <x v="126"/>
    <x v="5"/>
    <x v="2"/>
    <x v="2"/>
    <n v="1"/>
    <n v="399"/>
    <n v="0.05"/>
    <x v="1"/>
    <n v="379.04999999999995"/>
    <n v="180"/>
    <n v="199.04999999999995"/>
    <n v="0.52512861100118713"/>
  </r>
  <r>
    <x v="200"/>
    <x v="48"/>
    <x v="8"/>
    <x v="8"/>
    <x v="3"/>
    <x v="3"/>
    <n v="2"/>
    <n v="1799"/>
    <n v="0.05"/>
    <x v="0"/>
    <n v="3418.1"/>
    <n v="1000"/>
    <n v="1418.1"/>
    <n v="0.41487961148006203"/>
  </r>
  <r>
    <x v="201"/>
    <x v="137"/>
    <x v="49"/>
    <x v="6"/>
    <x v="3"/>
    <x v="3"/>
    <n v="1"/>
    <n v="2999"/>
    <n v="0.15"/>
    <x v="3"/>
    <n v="2549.15"/>
    <n v="1800"/>
    <n v="749.15000000000009"/>
    <n v="0.29388227448365145"/>
  </r>
  <r>
    <x v="202"/>
    <x v="157"/>
    <x v="28"/>
    <x v="6"/>
    <x v="3"/>
    <x v="1"/>
    <n v="2"/>
    <n v="2999"/>
    <n v="0.05"/>
    <x v="2"/>
    <n v="5698.0999999999995"/>
    <n v="1800"/>
    <n v="2098.0999999999995"/>
    <n v="0.36821045611695119"/>
  </r>
  <r>
    <x v="203"/>
    <x v="158"/>
    <x v="83"/>
    <x v="4"/>
    <x v="0"/>
    <x v="3"/>
    <n v="3"/>
    <n v="3499"/>
    <n v="0.1"/>
    <x v="0"/>
    <n v="9447.3000000000011"/>
    <n v="2300"/>
    <n v="2547.3000000000011"/>
    <n v="0.26963259343939544"/>
  </r>
  <r>
    <x v="204"/>
    <x v="87"/>
    <x v="77"/>
    <x v="10"/>
    <x v="2"/>
    <x v="1"/>
    <n v="1"/>
    <n v="1299"/>
    <n v="0.05"/>
    <x v="2"/>
    <n v="1234.05"/>
    <n v="750"/>
    <n v="484.04999999999995"/>
    <n v="0.39224504679713135"/>
  </r>
  <r>
    <x v="205"/>
    <x v="159"/>
    <x v="70"/>
    <x v="10"/>
    <x v="2"/>
    <x v="1"/>
    <n v="1"/>
    <n v="1299"/>
    <n v="0"/>
    <x v="3"/>
    <n v="1299"/>
    <n v="750"/>
    <n v="549"/>
    <n v="0.42263279445727481"/>
  </r>
  <r>
    <x v="206"/>
    <x v="65"/>
    <x v="30"/>
    <x v="5"/>
    <x v="2"/>
    <x v="0"/>
    <n v="1"/>
    <n v="399"/>
    <n v="0.2"/>
    <x v="1"/>
    <n v="319.20000000000005"/>
    <n v="180"/>
    <n v="139.20000000000005"/>
    <n v="0.43609022556390986"/>
  </r>
  <r>
    <x v="207"/>
    <x v="160"/>
    <x v="127"/>
    <x v="3"/>
    <x v="2"/>
    <x v="1"/>
    <n v="1"/>
    <n v="599"/>
    <n v="0.1"/>
    <x v="1"/>
    <n v="539.1"/>
    <n v="300"/>
    <n v="239.10000000000002"/>
    <n v="0.4435169727323317"/>
  </r>
  <r>
    <x v="208"/>
    <x v="129"/>
    <x v="96"/>
    <x v="11"/>
    <x v="3"/>
    <x v="2"/>
    <n v="3"/>
    <n v="999"/>
    <n v="0.1"/>
    <x v="3"/>
    <n v="2697.3"/>
    <n v="550"/>
    <n v="1047.3000000000002"/>
    <n v="0.38827716605494389"/>
  </r>
  <r>
    <x v="209"/>
    <x v="79"/>
    <x v="128"/>
    <x v="2"/>
    <x v="1"/>
    <x v="3"/>
    <n v="1"/>
    <n v="3999"/>
    <n v="0.2"/>
    <x v="1"/>
    <n v="3199.2000000000003"/>
    <n v="2600"/>
    <n v="599.20000000000027"/>
    <n v="0.18729682420605159"/>
  </r>
  <r>
    <x v="210"/>
    <x v="161"/>
    <x v="7"/>
    <x v="11"/>
    <x v="3"/>
    <x v="3"/>
    <n v="1"/>
    <n v="999"/>
    <n v="0"/>
    <x v="3"/>
    <n v="999"/>
    <n v="550"/>
    <n v="449"/>
    <n v="0.44944944944944942"/>
  </r>
  <r>
    <x v="211"/>
    <x v="162"/>
    <x v="68"/>
    <x v="8"/>
    <x v="3"/>
    <x v="1"/>
    <n v="1"/>
    <n v="1799"/>
    <n v="0.05"/>
    <x v="0"/>
    <n v="1709.05"/>
    <n v="1000"/>
    <n v="709.05"/>
    <n v="0.41487961148006203"/>
  </r>
  <r>
    <x v="212"/>
    <x v="132"/>
    <x v="109"/>
    <x v="1"/>
    <x v="0"/>
    <x v="1"/>
    <n v="2"/>
    <n v="2499"/>
    <n v="0.2"/>
    <x v="3"/>
    <n v="3998.4"/>
    <n v="1600"/>
    <n v="798.40000000000009"/>
    <n v="0.19967987194877954"/>
  </r>
  <r>
    <x v="213"/>
    <x v="163"/>
    <x v="2"/>
    <x v="6"/>
    <x v="3"/>
    <x v="1"/>
    <n v="2"/>
    <n v="2999"/>
    <n v="0.05"/>
    <x v="2"/>
    <n v="5698.0999999999995"/>
    <n v="1800"/>
    <n v="2098.0999999999995"/>
    <n v="0.36821045611695119"/>
  </r>
  <r>
    <x v="214"/>
    <x v="164"/>
    <x v="74"/>
    <x v="10"/>
    <x v="2"/>
    <x v="0"/>
    <n v="1"/>
    <n v="1299"/>
    <n v="0.05"/>
    <x v="0"/>
    <n v="1234.05"/>
    <n v="750"/>
    <n v="484.04999999999995"/>
    <n v="0.39224504679713135"/>
  </r>
  <r>
    <x v="215"/>
    <x v="72"/>
    <x v="129"/>
    <x v="5"/>
    <x v="2"/>
    <x v="0"/>
    <n v="5"/>
    <n v="399"/>
    <n v="0"/>
    <x v="0"/>
    <n v="1995"/>
    <n v="180"/>
    <n v="1095"/>
    <n v="0.54887218045112784"/>
  </r>
  <r>
    <x v="216"/>
    <x v="25"/>
    <x v="65"/>
    <x v="11"/>
    <x v="3"/>
    <x v="3"/>
    <n v="2"/>
    <n v="999"/>
    <n v="0.1"/>
    <x v="4"/>
    <n v="1798.2"/>
    <n v="550"/>
    <n v="698.2"/>
    <n v="0.38827716605494383"/>
  </r>
  <r>
    <x v="217"/>
    <x v="165"/>
    <x v="67"/>
    <x v="6"/>
    <x v="3"/>
    <x v="1"/>
    <n v="3"/>
    <n v="2999"/>
    <n v="0.1"/>
    <x v="4"/>
    <n v="8097.3"/>
    <n v="1800"/>
    <n v="2697.3"/>
    <n v="0.33311103701233746"/>
  </r>
  <r>
    <x v="218"/>
    <x v="166"/>
    <x v="130"/>
    <x v="1"/>
    <x v="0"/>
    <x v="3"/>
    <n v="2"/>
    <n v="2499"/>
    <n v="0.05"/>
    <x v="3"/>
    <n v="4748.0999999999995"/>
    <n v="1600"/>
    <n v="1548.0999999999995"/>
    <n v="0.3260462079568669"/>
  </r>
  <r>
    <x v="219"/>
    <x v="167"/>
    <x v="97"/>
    <x v="1"/>
    <x v="0"/>
    <x v="3"/>
    <n v="2"/>
    <n v="2499"/>
    <n v="0"/>
    <x v="4"/>
    <n v="4998"/>
    <n v="1600"/>
    <n v="1798"/>
    <n v="0.35974389755902358"/>
  </r>
  <r>
    <x v="220"/>
    <x v="12"/>
    <x v="34"/>
    <x v="7"/>
    <x v="1"/>
    <x v="1"/>
    <n v="1"/>
    <n v="799"/>
    <n v="0.05"/>
    <x v="4"/>
    <n v="759.05"/>
    <n v="400"/>
    <n v="359.04999999999995"/>
    <n v="0.47302549239180552"/>
  </r>
  <r>
    <x v="221"/>
    <x v="52"/>
    <x v="131"/>
    <x v="7"/>
    <x v="1"/>
    <x v="1"/>
    <n v="3"/>
    <n v="799"/>
    <n v="0.15"/>
    <x v="2"/>
    <n v="2037.45"/>
    <n v="400"/>
    <n v="837.45"/>
    <n v="0.41102849149672388"/>
  </r>
  <r>
    <x v="222"/>
    <x v="37"/>
    <x v="15"/>
    <x v="0"/>
    <x v="0"/>
    <x v="0"/>
    <n v="1"/>
    <n v="1999"/>
    <n v="0"/>
    <x v="4"/>
    <n v="1999"/>
    <n v="1200"/>
    <n v="799"/>
    <n v="0.39969984992496249"/>
  </r>
  <r>
    <x v="223"/>
    <x v="168"/>
    <x v="30"/>
    <x v="10"/>
    <x v="2"/>
    <x v="3"/>
    <n v="5"/>
    <n v="1299"/>
    <n v="0"/>
    <x v="0"/>
    <n v="6495"/>
    <n v="750"/>
    <n v="2745"/>
    <n v="0.42263279445727481"/>
  </r>
  <r>
    <x v="224"/>
    <x v="62"/>
    <x v="31"/>
    <x v="9"/>
    <x v="1"/>
    <x v="3"/>
    <n v="3"/>
    <n v="1499"/>
    <n v="0"/>
    <x v="3"/>
    <n v="4497"/>
    <n v="800"/>
    <n v="2097"/>
    <n v="0.46631087391594395"/>
  </r>
  <r>
    <x v="225"/>
    <x v="28"/>
    <x v="84"/>
    <x v="6"/>
    <x v="3"/>
    <x v="0"/>
    <n v="1"/>
    <n v="2999"/>
    <n v="0"/>
    <x v="2"/>
    <n v="2999"/>
    <n v="1800"/>
    <n v="1199"/>
    <n v="0.39979993331110369"/>
  </r>
  <r>
    <x v="226"/>
    <x v="169"/>
    <x v="51"/>
    <x v="5"/>
    <x v="2"/>
    <x v="2"/>
    <n v="2"/>
    <n v="399"/>
    <n v="0"/>
    <x v="3"/>
    <n v="798"/>
    <n v="180"/>
    <n v="438"/>
    <n v="0.54887218045112784"/>
  </r>
  <r>
    <x v="227"/>
    <x v="170"/>
    <x v="132"/>
    <x v="10"/>
    <x v="2"/>
    <x v="2"/>
    <n v="2"/>
    <n v="1299"/>
    <n v="0"/>
    <x v="1"/>
    <n v="2598"/>
    <n v="750"/>
    <n v="1098"/>
    <n v="0.42263279445727481"/>
  </r>
  <r>
    <x v="228"/>
    <x v="132"/>
    <x v="110"/>
    <x v="2"/>
    <x v="1"/>
    <x v="3"/>
    <n v="5"/>
    <n v="3999"/>
    <n v="0.05"/>
    <x v="2"/>
    <n v="18995.25"/>
    <n v="2600"/>
    <n v="5995.25"/>
    <n v="0.3156183782787802"/>
  </r>
  <r>
    <x v="229"/>
    <x v="171"/>
    <x v="43"/>
    <x v="6"/>
    <x v="3"/>
    <x v="0"/>
    <n v="4"/>
    <n v="2999"/>
    <n v="0.15"/>
    <x v="4"/>
    <n v="10196.6"/>
    <n v="1800"/>
    <n v="2996.6000000000004"/>
    <n v="0.29388227448365145"/>
  </r>
  <r>
    <x v="230"/>
    <x v="47"/>
    <x v="55"/>
    <x v="11"/>
    <x v="3"/>
    <x v="1"/>
    <n v="3"/>
    <n v="999"/>
    <n v="0.05"/>
    <x v="3"/>
    <n v="2847.15"/>
    <n v="550"/>
    <n v="1197.1500000000001"/>
    <n v="0.42047310468363103"/>
  </r>
  <r>
    <x v="231"/>
    <x v="102"/>
    <x v="42"/>
    <x v="1"/>
    <x v="0"/>
    <x v="0"/>
    <n v="3"/>
    <n v="2499"/>
    <n v="0"/>
    <x v="2"/>
    <n v="7497"/>
    <n v="1600"/>
    <n v="2697"/>
    <n v="0.35974389755902358"/>
  </r>
  <r>
    <x v="232"/>
    <x v="118"/>
    <x v="64"/>
    <x v="11"/>
    <x v="3"/>
    <x v="2"/>
    <n v="3"/>
    <n v="999"/>
    <n v="0.15"/>
    <x v="0"/>
    <n v="2547.4499999999998"/>
    <n v="550"/>
    <n v="897.44999999999982"/>
    <n v="0.35229346994052874"/>
  </r>
  <r>
    <x v="233"/>
    <x v="172"/>
    <x v="133"/>
    <x v="5"/>
    <x v="2"/>
    <x v="3"/>
    <n v="1"/>
    <n v="399"/>
    <n v="0.2"/>
    <x v="1"/>
    <n v="319.20000000000005"/>
    <n v="180"/>
    <n v="139.20000000000005"/>
    <n v="0.43609022556390986"/>
  </r>
  <r>
    <x v="234"/>
    <x v="173"/>
    <x v="134"/>
    <x v="1"/>
    <x v="0"/>
    <x v="0"/>
    <n v="3"/>
    <n v="2499"/>
    <n v="0.1"/>
    <x v="1"/>
    <n v="6747.3"/>
    <n v="1600"/>
    <n v="1947.3000000000002"/>
    <n v="0.28860433062113738"/>
  </r>
  <r>
    <x v="235"/>
    <x v="174"/>
    <x v="109"/>
    <x v="11"/>
    <x v="3"/>
    <x v="2"/>
    <n v="2"/>
    <n v="999"/>
    <n v="0"/>
    <x v="2"/>
    <n v="1998"/>
    <n v="550"/>
    <n v="898"/>
    <n v="0.44944944944944942"/>
  </r>
  <r>
    <x v="236"/>
    <x v="175"/>
    <x v="26"/>
    <x v="1"/>
    <x v="0"/>
    <x v="0"/>
    <n v="1"/>
    <n v="2499"/>
    <n v="0"/>
    <x v="3"/>
    <n v="2499"/>
    <n v="1600"/>
    <n v="899"/>
    <n v="0.35974389755902358"/>
  </r>
  <r>
    <x v="237"/>
    <x v="176"/>
    <x v="43"/>
    <x v="6"/>
    <x v="3"/>
    <x v="3"/>
    <n v="1"/>
    <n v="2999"/>
    <n v="0"/>
    <x v="0"/>
    <n v="2999"/>
    <n v="1800"/>
    <n v="1199"/>
    <n v="0.39979993331110369"/>
  </r>
  <r>
    <x v="238"/>
    <x v="15"/>
    <x v="21"/>
    <x v="6"/>
    <x v="3"/>
    <x v="1"/>
    <n v="2"/>
    <n v="2999"/>
    <n v="0.1"/>
    <x v="0"/>
    <n v="5398.2"/>
    <n v="1800"/>
    <n v="1798.1999999999998"/>
    <n v="0.33311103701233741"/>
  </r>
  <r>
    <x v="239"/>
    <x v="109"/>
    <x v="84"/>
    <x v="8"/>
    <x v="3"/>
    <x v="0"/>
    <n v="1"/>
    <n v="1799"/>
    <n v="0.05"/>
    <x v="1"/>
    <n v="1709.05"/>
    <n v="1000"/>
    <n v="709.05"/>
    <n v="0.41487961148006203"/>
  </r>
  <r>
    <x v="240"/>
    <x v="177"/>
    <x v="72"/>
    <x v="0"/>
    <x v="0"/>
    <x v="2"/>
    <n v="2"/>
    <n v="1999"/>
    <n v="0"/>
    <x v="1"/>
    <n v="3998"/>
    <n v="1200"/>
    <n v="1598"/>
    <n v="0.39969984992496249"/>
  </r>
  <r>
    <x v="241"/>
    <x v="178"/>
    <x v="24"/>
    <x v="1"/>
    <x v="0"/>
    <x v="1"/>
    <n v="2"/>
    <n v="2499"/>
    <n v="0.05"/>
    <x v="2"/>
    <n v="4748.0999999999995"/>
    <n v="1600"/>
    <n v="1548.0999999999995"/>
    <n v="0.3260462079568669"/>
  </r>
  <r>
    <x v="242"/>
    <x v="116"/>
    <x v="135"/>
    <x v="7"/>
    <x v="1"/>
    <x v="1"/>
    <n v="1"/>
    <n v="799"/>
    <n v="0.05"/>
    <x v="4"/>
    <n v="759.05"/>
    <n v="400"/>
    <n v="359.04999999999995"/>
    <n v="0.47302549239180552"/>
  </r>
  <r>
    <x v="243"/>
    <x v="179"/>
    <x v="136"/>
    <x v="10"/>
    <x v="2"/>
    <x v="3"/>
    <n v="2"/>
    <n v="1299"/>
    <n v="0.1"/>
    <x v="1"/>
    <n v="2338.2000000000003"/>
    <n v="750"/>
    <n v="838.20000000000027"/>
    <n v="0.35848088273030543"/>
  </r>
  <r>
    <x v="244"/>
    <x v="169"/>
    <x v="68"/>
    <x v="8"/>
    <x v="3"/>
    <x v="2"/>
    <n v="1"/>
    <n v="1799"/>
    <n v="0.1"/>
    <x v="2"/>
    <n v="1619.1000000000001"/>
    <n v="1000"/>
    <n v="619.10000000000014"/>
    <n v="0.38237292322895439"/>
  </r>
  <r>
    <x v="245"/>
    <x v="180"/>
    <x v="137"/>
    <x v="4"/>
    <x v="0"/>
    <x v="2"/>
    <n v="1"/>
    <n v="3499"/>
    <n v="0.1"/>
    <x v="0"/>
    <n v="3149.1"/>
    <n v="2300"/>
    <n v="849.09999999999991"/>
    <n v="0.26963259343939538"/>
  </r>
  <r>
    <x v="246"/>
    <x v="181"/>
    <x v="138"/>
    <x v="0"/>
    <x v="0"/>
    <x v="3"/>
    <n v="3"/>
    <n v="1999"/>
    <n v="0.15"/>
    <x v="4"/>
    <n v="5097.45"/>
    <n v="1200"/>
    <n v="1497.4499999999998"/>
    <n v="0.29376452932348524"/>
  </r>
  <r>
    <x v="247"/>
    <x v="182"/>
    <x v="125"/>
    <x v="8"/>
    <x v="3"/>
    <x v="0"/>
    <n v="2"/>
    <n v="1799"/>
    <n v="0"/>
    <x v="4"/>
    <n v="3598"/>
    <n v="1000"/>
    <n v="1598"/>
    <n v="0.4441356309060589"/>
  </r>
  <r>
    <x v="248"/>
    <x v="183"/>
    <x v="35"/>
    <x v="7"/>
    <x v="1"/>
    <x v="3"/>
    <n v="1"/>
    <n v="799"/>
    <n v="0"/>
    <x v="2"/>
    <n v="799"/>
    <n v="400"/>
    <n v="399"/>
    <n v="0.49937421777221525"/>
  </r>
  <r>
    <x v="249"/>
    <x v="14"/>
    <x v="65"/>
    <x v="6"/>
    <x v="3"/>
    <x v="2"/>
    <n v="1"/>
    <n v="2999"/>
    <n v="0"/>
    <x v="4"/>
    <n v="2999"/>
    <n v="1800"/>
    <n v="1199"/>
    <n v="0.39979993331110369"/>
  </r>
  <r>
    <x v="250"/>
    <x v="184"/>
    <x v="102"/>
    <x v="1"/>
    <x v="0"/>
    <x v="0"/>
    <n v="2"/>
    <n v="2499"/>
    <n v="0"/>
    <x v="3"/>
    <n v="4998"/>
    <n v="1600"/>
    <n v="1798"/>
    <n v="0.35974389755902358"/>
  </r>
  <r>
    <x v="251"/>
    <x v="181"/>
    <x v="139"/>
    <x v="1"/>
    <x v="0"/>
    <x v="3"/>
    <n v="1"/>
    <n v="2499"/>
    <n v="0.1"/>
    <x v="2"/>
    <n v="2249.1"/>
    <n v="1600"/>
    <n v="649.09999999999991"/>
    <n v="0.28860433062113733"/>
  </r>
  <r>
    <x v="252"/>
    <x v="185"/>
    <x v="72"/>
    <x v="4"/>
    <x v="0"/>
    <x v="1"/>
    <n v="2"/>
    <n v="3499"/>
    <n v="0.05"/>
    <x v="4"/>
    <n v="6648.0999999999995"/>
    <n v="2300"/>
    <n v="2048.0999999999995"/>
    <n v="0.30807298325837451"/>
  </r>
  <r>
    <x v="253"/>
    <x v="186"/>
    <x v="57"/>
    <x v="3"/>
    <x v="2"/>
    <x v="1"/>
    <n v="2"/>
    <n v="599"/>
    <n v="0.1"/>
    <x v="0"/>
    <n v="1078.2"/>
    <n v="300"/>
    <n v="478.20000000000005"/>
    <n v="0.4435169727323317"/>
  </r>
  <r>
    <x v="254"/>
    <x v="187"/>
    <x v="47"/>
    <x v="6"/>
    <x v="3"/>
    <x v="0"/>
    <n v="1"/>
    <n v="2999"/>
    <n v="0.15"/>
    <x v="0"/>
    <n v="2549.15"/>
    <n v="1800"/>
    <n v="749.15000000000009"/>
    <n v="0.29388227448365145"/>
  </r>
  <r>
    <x v="255"/>
    <x v="188"/>
    <x v="23"/>
    <x v="7"/>
    <x v="1"/>
    <x v="1"/>
    <n v="3"/>
    <n v="799"/>
    <n v="0"/>
    <x v="1"/>
    <n v="2397"/>
    <n v="400"/>
    <n v="1197"/>
    <n v="0.49937421777221525"/>
  </r>
  <r>
    <x v="256"/>
    <x v="189"/>
    <x v="111"/>
    <x v="5"/>
    <x v="2"/>
    <x v="0"/>
    <n v="1"/>
    <n v="399"/>
    <n v="0.05"/>
    <x v="2"/>
    <n v="379.04999999999995"/>
    <n v="180"/>
    <n v="199.04999999999995"/>
    <n v="0.52512861100118713"/>
  </r>
  <r>
    <x v="257"/>
    <x v="43"/>
    <x v="107"/>
    <x v="11"/>
    <x v="3"/>
    <x v="3"/>
    <n v="3"/>
    <n v="999"/>
    <n v="0.05"/>
    <x v="2"/>
    <n v="2847.15"/>
    <n v="550"/>
    <n v="1197.1500000000001"/>
    <n v="0.42047310468363103"/>
  </r>
  <r>
    <x v="258"/>
    <x v="146"/>
    <x v="74"/>
    <x v="3"/>
    <x v="2"/>
    <x v="0"/>
    <n v="1"/>
    <n v="599"/>
    <n v="0"/>
    <x v="2"/>
    <n v="599"/>
    <n v="300"/>
    <n v="299"/>
    <n v="0.4991652754590985"/>
  </r>
  <r>
    <x v="259"/>
    <x v="184"/>
    <x v="67"/>
    <x v="8"/>
    <x v="3"/>
    <x v="2"/>
    <n v="1"/>
    <n v="1799"/>
    <n v="0.1"/>
    <x v="1"/>
    <n v="1619.1000000000001"/>
    <n v="1000"/>
    <n v="619.10000000000014"/>
    <n v="0.38237292322895439"/>
  </r>
  <r>
    <x v="260"/>
    <x v="71"/>
    <x v="109"/>
    <x v="9"/>
    <x v="1"/>
    <x v="1"/>
    <n v="4"/>
    <n v="1499"/>
    <n v="0.05"/>
    <x v="1"/>
    <n v="5696.2"/>
    <n v="800"/>
    <n v="2496.1999999999998"/>
    <n v="0.43822197254309891"/>
  </r>
  <r>
    <x v="261"/>
    <x v="41"/>
    <x v="91"/>
    <x v="4"/>
    <x v="0"/>
    <x v="1"/>
    <n v="3"/>
    <n v="3499"/>
    <n v="0.05"/>
    <x v="4"/>
    <n v="9972.15"/>
    <n v="2300"/>
    <n v="3072.1499999999996"/>
    <n v="0.30807298325837457"/>
  </r>
  <r>
    <x v="262"/>
    <x v="190"/>
    <x v="136"/>
    <x v="9"/>
    <x v="1"/>
    <x v="3"/>
    <n v="1"/>
    <n v="1499"/>
    <n v="0.05"/>
    <x v="1"/>
    <n v="1424.05"/>
    <n v="800"/>
    <n v="624.04999999999995"/>
    <n v="0.43822197254309891"/>
  </r>
  <r>
    <x v="263"/>
    <x v="191"/>
    <x v="140"/>
    <x v="7"/>
    <x v="1"/>
    <x v="0"/>
    <n v="1"/>
    <n v="799"/>
    <n v="0.05"/>
    <x v="0"/>
    <n v="759.05"/>
    <n v="400"/>
    <n v="359.04999999999995"/>
    <n v="0.47302549239180552"/>
  </r>
  <r>
    <x v="264"/>
    <x v="55"/>
    <x v="113"/>
    <x v="10"/>
    <x v="2"/>
    <x v="3"/>
    <n v="3"/>
    <n v="1299"/>
    <n v="0"/>
    <x v="2"/>
    <n v="3897"/>
    <n v="750"/>
    <n v="1647"/>
    <n v="0.42263279445727481"/>
  </r>
  <r>
    <x v="265"/>
    <x v="192"/>
    <x v="116"/>
    <x v="2"/>
    <x v="1"/>
    <x v="2"/>
    <n v="3"/>
    <n v="3999"/>
    <n v="0"/>
    <x v="2"/>
    <n v="11997"/>
    <n v="2600"/>
    <n v="4197"/>
    <n v="0.34983745936484123"/>
  </r>
  <r>
    <x v="266"/>
    <x v="193"/>
    <x v="51"/>
    <x v="6"/>
    <x v="3"/>
    <x v="3"/>
    <n v="3"/>
    <n v="2999"/>
    <n v="0"/>
    <x v="0"/>
    <n v="8997"/>
    <n v="1800"/>
    <n v="3597"/>
    <n v="0.39979993331110369"/>
  </r>
  <r>
    <x v="267"/>
    <x v="72"/>
    <x v="76"/>
    <x v="7"/>
    <x v="1"/>
    <x v="0"/>
    <n v="2"/>
    <n v="799"/>
    <n v="0"/>
    <x v="1"/>
    <n v="1598"/>
    <n v="400"/>
    <n v="798"/>
    <n v="0.49937421777221525"/>
  </r>
  <r>
    <x v="268"/>
    <x v="194"/>
    <x v="133"/>
    <x v="0"/>
    <x v="0"/>
    <x v="3"/>
    <n v="3"/>
    <n v="1999"/>
    <n v="0.05"/>
    <x v="1"/>
    <n v="5697.15"/>
    <n v="1200"/>
    <n v="2097.1499999999996"/>
    <n v="0.368105105184171"/>
  </r>
  <r>
    <x v="269"/>
    <x v="195"/>
    <x v="139"/>
    <x v="9"/>
    <x v="1"/>
    <x v="3"/>
    <n v="1"/>
    <n v="1499"/>
    <n v="0.15"/>
    <x v="0"/>
    <n v="1274.1499999999999"/>
    <n v="800"/>
    <n v="474.14999999999986"/>
    <n v="0.3721304399011105"/>
  </r>
  <r>
    <x v="270"/>
    <x v="128"/>
    <x v="141"/>
    <x v="7"/>
    <x v="1"/>
    <x v="3"/>
    <n v="4"/>
    <n v="799"/>
    <n v="0"/>
    <x v="3"/>
    <n v="3196"/>
    <n v="400"/>
    <n v="1596"/>
    <n v="0.49937421777221525"/>
  </r>
  <r>
    <x v="271"/>
    <x v="196"/>
    <x v="46"/>
    <x v="8"/>
    <x v="3"/>
    <x v="0"/>
    <n v="2"/>
    <n v="1799"/>
    <n v="0.05"/>
    <x v="1"/>
    <n v="3418.1"/>
    <n v="1000"/>
    <n v="1418.1"/>
    <n v="0.41487961148006203"/>
  </r>
  <r>
    <x v="272"/>
    <x v="197"/>
    <x v="71"/>
    <x v="9"/>
    <x v="1"/>
    <x v="1"/>
    <n v="4"/>
    <n v="1499"/>
    <n v="0"/>
    <x v="0"/>
    <n v="5996"/>
    <n v="800"/>
    <n v="2796"/>
    <n v="0.46631087391594395"/>
  </r>
  <r>
    <x v="273"/>
    <x v="198"/>
    <x v="135"/>
    <x v="7"/>
    <x v="1"/>
    <x v="0"/>
    <n v="3"/>
    <n v="799"/>
    <n v="0"/>
    <x v="3"/>
    <n v="2397"/>
    <n v="400"/>
    <n v="1197"/>
    <n v="0.49937421777221525"/>
  </r>
  <r>
    <x v="274"/>
    <x v="199"/>
    <x v="92"/>
    <x v="7"/>
    <x v="1"/>
    <x v="3"/>
    <n v="1"/>
    <n v="799"/>
    <n v="0.15"/>
    <x v="4"/>
    <n v="679.15"/>
    <n v="400"/>
    <n v="279.14999999999998"/>
    <n v="0.41102849149672382"/>
  </r>
  <r>
    <x v="275"/>
    <x v="112"/>
    <x v="82"/>
    <x v="7"/>
    <x v="1"/>
    <x v="1"/>
    <n v="1"/>
    <n v="799"/>
    <n v="0.05"/>
    <x v="1"/>
    <n v="759.05"/>
    <n v="400"/>
    <n v="359.04999999999995"/>
    <n v="0.47302549239180552"/>
  </r>
  <r>
    <x v="276"/>
    <x v="161"/>
    <x v="66"/>
    <x v="11"/>
    <x v="3"/>
    <x v="0"/>
    <n v="2"/>
    <n v="999"/>
    <n v="0"/>
    <x v="4"/>
    <n v="1998"/>
    <n v="550"/>
    <n v="898"/>
    <n v="0.44944944944944942"/>
  </r>
  <r>
    <x v="277"/>
    <x v="200"/>
    <x v="136"/>
    <x v="6"/>
    <x v="3"/>
    <x v="1"/>
    <n v="1"/>
    <n v="2999"/>
    <n v="0.05"/>
    <x v="4"/>
    <n v="2849.0499999999997"/>
    <n v="1800"/>
    <n v="1049.0499999999997"/>
    <n v="0.36821045611695119"/>
  </r>
  <r>
    <x v="278"/>
    <x v="90"/>
    <x v="76"/>
    <x v="1"/>
    <x v="0"/>
    <x v="1"/>
    <n v="1"/>
    <n v="2499"/>
    <n v="0"/>
    <x v="0"/>
    <n v="2499"/>
    <n v="1600"/>
    <n v="899"/>
    <n v="0.35974389755902358"/>
  </r>
  <r>
    <x v="279"/>
    <x v="201"/>
    <x v="16"/>
    <x v="2"/>
    <x v="1"/>
    <x v="0"/>
    <n v="1"/>
    <n v="3999"/>
    <n v="0.2"/>
    <x v="4"/>
    <n v="3199.2000000000003"/>
    <n v="2600"/>
    <n v="599.20000000000027"/>
    <n v="0.18729682420605159"/>
  </r>
  <r>
    <x v="280"/>
    <x v="60"/>
    <x v="12"/>
    <x v="10"/>
    <x v="2"/>
    <x v="2"/>
    <n v="3"/>
    <n v="1299"/>
    <n v="0.05"/>
    <x v="2"/>
    <n v="3702.1499999999996"/>
    <n v="750"/>
    <n v="1452.1499999999996"/>
    <n v="0.39224504679713135"/>
  </r>
  <r>
    <x v="281"/>
    <x v="202"/>
    <x v="13"/>
    <x v="0"/>
    <x v="0"/>
    <x v="2"/>
    <n v="1"/>
    <n v="1999"/>
    <n v="0.05"/>
    <x v="1"/>
    <n v="1899.05"/>
    <n v="1200"/>
    <n v="699.05"/>
    <n v="0.368105105184171"/>
  </r>
  <r>
    <x v="282"/>
    <x v="92"/>
    <x v="38"/>
    <x v="5"/>
    <x v="2"/>
    <x v="2"/>
    <n v="1"/>
    <n v="399"/>
    <n v="0"/>
    <x v="4"/>
    <n v="399"/>
    <n v="180"/>
    <n v="219"/>
    <n v="0.54887218045112784"/>
  </r>
  <r>
    <x v="283"/>
    <x v="6"/>
    <x v="40"/>
    <x v="1"/>
    <x v="0"/>
    <x v="3"/>
    <n v="1"/>
    <n v="2499"/>
    <n v="0.15"/>
    <x v="2"/>
    <n v="2124.15"/>
    <n v="1600"/>
    <n v="524.15000000000009"/>
    <n v="0.24675752654002781"/>
  </r>
  <r>
    <x v="284"/>
    <x v="130"/>
    <x v="135"/>
    <x v="6"/>
    <x v="3"/>
    <x v="3"/>
    <n v="1"/>
    <n v="2999"/>
    <n v="0.05"/>
    <x v="3"/>
    <n v="2849.0499999999997"/>
    <n v="1800"/>
    <n v="1049.0499999999997"/>
    <n v="0.36821045611695119"/>
  </r>
  <r>
    <x v="285"/>
    <x v="98"/>
    <x v="27"/>
    <x v="6"/>
    <x v="3"/>
    <x v="3"/>
    <n v="2"/>
    <n v="2999"/>
    <n v="0.1"/>
    <x v="3"/>
    <n v="5398.2"/>
    <n v="1800"/>
    <n v="1798.1999999999998"/>
    <n v="0.33311103701233741"/>
  </r>
  <r>
    <x v="286"/>
    <x v="203"/>
    <x v="142"/>
    <x v="1"/>
    <x v="0"/>
    <x v="3"/>
    <n v="1"/>
    <n v="2499"/>
    <n v="0"/>
    <x v="4"/>
    <n v="2499"/>
    <n v="1600"/>
    <n v="899"/>
    <n v="0.35974389755902358"/>
  </r>
  <r>
    <x v="287"/>
    <x v="70"/>
    <x v="111"/>
    <x v="4"/>
    <x v="0"/>
    <x v="1"/>
    <n v="1"/>
    <n v="3499"/>
    <n v="0.05"/>
    <x v="0"/>
    <n v="3324.0499999999997"/>
    <n v="2300"/>
    <n v="1024.0499999999997"/>
    <n v="0.30807298325837451"/>
  </r>
  <r>
    <x v="288"/>
    <x v="174"/>
    <x v="113"/>
    <x v="9"/>
    <x v="1"/>
    <x v="2"/>
    <n v="1"/>
    <n v="1499"/>
    <n v="0.05"/>
    <x v="1"/>
    <n v="1424.05"/>
    <n v="800"/>
    <n v="624.04999999999995"/>
    <n v="0.43822197254309891"/>
  </r>
  <r>
    <x v="289"/>
    <x v="204"/>
    <x v="143"/>
    <x v="4"/>
    <x v="0"/>
    <x v="0"/>
    <n v="1"/>
    <n v="3499"/>
    <n v="0.1"/>
    <x v="2"/>
    <n v="3149.1"/>
    <n v="2300"/>
    <n v="849.09999999999991"/>
    <n v="0.26963259343939538"/>
  </r>
  <r>
    <x v="290"/>
    <x v="175"/>
    <x v="144"/>
    <x v="2"/>
    <x v="1"/>
    <x v="2"/>
    <n v="1"/>
    <n v="3999"/>
    <n v="0.15"/>
    <x v="3"/>
    <n v="3399.15"/>
    <n v="2600"/>
    <n v="799.15000000000009"/>
    <n v="0.23510289337040144"/>
  </r>
  <r>
    <x v="291"/>
    <x v="124"/>
    <x v="62"/>
    <x v="0"/>
    <x v="0"/>
    <x v="2"/>
    <n v="1"/>
    <n v="1999"/>
    <n v="0.1"/>
    <x v="3"/>
    <n v="1799.1000000000001"/>
    <n v="1200"/>
    <n v="599.10000000000014"/>
    <n v="0.33299983324995835"/>
  </r>
  <r>
    <x v="292"/>
    <x v="202"/>
    <x v="11"/>
    <x v="7"/>
    <x v="1"/>
    <x v="0"/>
    <n v="1"/>
    <n v="799"/>
    <n v="0.05"/>
    <x v="0"/>
    <n v="759.05"/>
    <n v="400"/>
    <n v="359.04999999999995"/>
    <n v="0.47302549239180552"/>
  </r>
  <r>
    <x v="293"/>
    <x v="122"/>
    <x v="88"/>
    <x v="4"/>
    <x v="0"/>
    <x v="2"/>
    <n v="2"/>
    <n v="3499"/>
    <n v="0.1"/>
    <x v="1"/>
    <n v="6298.2"/>
    <n v="2300"/>
    <n v="1698.1999999999998"/>
    <n v="0.26963259343939538"/>
  </r>
  <r>
    <x v="294"/>
    <x v="203"/>
    <x v="82"/>
    <x v="0"/>
    <x v="0"/>
    <x v="0"/>
    <n v="2"/>
    <n v="1999"/>
    <n v="0.1"/>
    <x v="0"/>
    <n v="3598.2000000000003"/>
    <n v="1200"/>
    <n v="1198.2000000000003"/>
    <n v="0.33299983324995835"/>
  </r>
  <r>
    <x v="295"/>
    <x v="161"/>
    <x v="12"/>
    <x v="6"/>
    <x v="3"/>
    <x v="2"/>
    <n v="1"/>
    <n v="2999"/>
    <n v="0.1"/>
    <x v="3"/>
    <n v="2699.1"/>
    <n v="1800"/>
    <n v="899.09999999999991"/>
    <n v="0.33311103701233741"/>
  </r>
  <r>
    <x v="296"/>
    <x v="71"/>
    <x v="100"/>
    <x v="9"/>
    <x v="1"/>
    <x v="0"/>
    <n v="2"/>
    <n v="1499"/>
    <n v="0.1"/>
    <x v="3"/>
    <n v="2698.2000000000003"/>
    <n v="800"/>
    <n v="1098.2000000000003"/>
    <n v="0.40701208212882667"/>
  </r>
  <r>
    <x v="297"/>
    <x v="152"/>
    <x v="93"/>
    <x v="11"/>
    <x v="3"/>
    <x v="0"/>
    <n v="2"/>
    <n v="999"/>
    <n v="0"/>
    <x v="2"/>
    <n v="1998"/>
    <n v="550"/>
    <n v="898"/>
    <n v="0.44944944944944942"/>
  </r>
  <r>
    <x v="298"/>
    <x v="23"/>
    <x v="45"/>
    <x v="8"/>
    <x v="3"/>
    <x v="3"/>
    <n v="1"/>
    <n v="1799"/>
    <n v="0.1"/>
    <x v="3"/>
    <n v="1619.1000000000001"/>
    <n v="1000"/>
    <n v="619.10000000000014"/>
    <n v="0.38237292322895439"/>
  </r>
  <r>
    <x v="299"/>
    <x v="112"/>
    <x v="30"/>
    <x v="10"/>
    <x v="2"/>
    <x v="3"/>
    <n v="1"/>
    <n v="1299"/>
    <n v="0"/>
    <x v="4"/>
    <n v="1299"/>
    <n v="750"/>
    <n v="549"/>
    <n v="0.42263279445727481"/>
  </r>
  <r>
    <x v="300"/>
    <x v="205"/>
    <x v="9"/>
    <x v="9"/>
    <x v="1"/>
    <x v="3"/>
    <n v="2"/>
    <n v="1499"/>
    <n v="0"/>
    <x v="3"/>
    <n v="2998"/>
    <n v="800"/>
    <n v="1398"/>
    <n v="0.46631087391594395"/>
  </r>
  <r>
    <x v="301"/>
    <x v="73"/>
    <x v="109"/>
    <x v="1"/>
    <x v="0"/>
    <x v="2"/>
    <n v="2"/>
    <n v="2499"/>
    <n v="0.05"/>
    <x v="4"/>
    <n v="4748.0999999999995"/>
    <n v="1600"/>
    <n v="1548.0999999999995"/>
    <n v="0.3260462079568669"/>
  </r>
  <r>
    <x v="302"/>
    <x v="139"/>
    <x v="126"/>
    <x v="0"/>
    <x v="0"/>
    <x v="3"/>
    <n v="1"/>
    <n v="1999"/>
    <n v="0.1"/>
    <x v="2"/>
    <n v="1799.1000000000001"/>
    <n v="1200"/>
    <n v="599.10000000000014"/>
    <n v="0.33299983324995835"/>
  </r>
  <r>
    <x v="303"/>
    <x v="12"/>
    <x v="145"/>
    <x v="9"/>
    <x v="1"/>
    <x v="3"/>
    <n v="2"/>
    <n v="1499"/>
    <n v="0"/>
    <x v="3"/>
    <n v="2998"/>
    <n v="800"/>
    <n v="1398"/>
    <n v="0.46631087391594395"/>
  </r>
  <r>
    <x v="304"/>
    <x v="206"/>
    <x v="123"/>
    <x v="4"/>
    <x v="0"/>
    <x v="0"/>
    <n v="1"/>
    <n v="3499"/>
    <n v="0.1"/>
    <x v="1"/>
    <n v="3149.1"/>
    <n v="2300"/>
    <n v="849.09999999999991"/>
    <n v="0.26963259343939538"/>
  </r>
  <r>
    <x v="305"/>
    <x v="153"/>
    <x v="24"/>
    <x v="8"/>
    <x v="3"/>
    <x v="1"/>
    <n v="1"/>
    <n v="1799"/>
    <n v="0"/>
    <x v="2"/>
    <n v="1799"/>
    <n v="1000"/>
    <n v="799"/>
    <n v="0.4441356309060589"/>
  </r>
  <r>
    <x v="306"/>
    <x v="27"/>
    <x v="100"/>
    <x v="1"/>
    <x v="0"/>
    <x v="0"/>
    <n v="2"/>
    <n v="2499"/>
    <n v="0"/>
    <x v="2"/>
    <n v="4998"/>
    <n v="1600"/>
    <n v="1798"/>
    <n v="0.35974389755902358"/>
  </r>
  <r>
    <x v="307"/>
    <x v="44"/>
    <x v="62"/>
    <x v="11"/>
    <x v="3"/>
    <x v="3"/>
    <n v="2"/>
    <n v="999"/>
    <n v="0.1"/>
    <x v="4"/>
    <n v="1798.2"/>
    <n v="550"/>
    <n v="698.2"/>
    <n v="0.38827716605494383"/>
  </r>
  <r>
    <x v="308"/>
    <x v="207"/>
    <x v="94"/>
    <x v="0"/>
    <x v="0"/>
    <x v="0"/>
    <n v="4"/>
    <n v="1999"/>
    <n v="0"/>
    <x v="3"/>
    <n v="7996"/>
    <n v="1200"/>
    <n v="3196"/>
    <n v="0.39969984992496249"/>
  </r>
  <r>
    <x v="309"/>
    <x v="174"/>
    <x v="146"/>
    <x v="6"/>
    <x v="3"/>
    <x v="1"/>
    <n v="3"/>
    <n v="2999"/>
    <n v="0"/>
    <x v="2"/>
    <n v="8997"/>
    <n v="1800"/>
    <n v="3597"/>
    <n v="0.39979993331110369"/>
  </r>
  <r>
    <x v="310"/>
    <x v="88"/>
    <x v="147"/>
    <x v="9"/>
    <x v="1"/>
    <x v="1"/>
    <n v="4"/>
    <n v="1499"/>
    <n v="0.15"/>
    <x v="0"/>
    <n v="5096.5999999999995"/>
    <n v="800"/>
    <n v="1896.5999999999995"/>
    <n v="0.3721304399011105"/>
  </r>
  <r>
    <x v="311"/>
    <x v="208"/>
    <x v="37"/>
    <x v="2"/>
    <x v="1"/>
    <x v="3"/>
    <n v="1"/>
    <n v="3999"/>
    <n v="0.2"/>
    <x v="2"/>
    <n v="3199.2000000000003"/>
    <n v="2600"/>
    <n v="599.20000000000027"/>
    <n v="0.18729682420605159"/>
  </r>
  <r>
    <x v="312"/>
    <x v="209"/>
    <x v="1"/>
    <x v="8"/>
    <x v="3"/>
    <x v="2"/>
    <n v="2"/>
    <n v="1799"/>
    <n v="0.15"/>
    <x v="4"/>
    <n v="3058.2999999999997"/>
    <n v="1000"/>
    <n v="1058.2999999999997"/>
    <n v="0.34604191871301043"/>
  </r>
  <r>
    <x v="313"/>
    <x v="7"/>
    <x v="0"/>
    <x v="5"/>
    <x v="2"/>
    <x v="3"/>
    <n v="1"/>
    <n v="399"/>
    <n v="0.05"/>
    <x v="1"/>
    <n v="379.04999999999995"/>
    <n v="180"/>
    <n v="199.04999999999995"/>
    <n v="0.52512861100118713"/>
  </r>
  <r>
    <x v="314"/>
    <x v="140"/>
    <x v="70"/>
    <x v="3"/>
    <x v="2"/>
    <x v="0"/>
    <n v="2"/>
    <n v="599"/>
    <n v="0.1"/>
    <x v="3"/>
    <n v="1078.2"/>
    <n v="300"/>
    <n v="478.20000000000005"/>
    <n v="0.4435169727323317"/>
  </r>
  <r>
    <x v="315"/>
    <x v="0"/>
    <x v="148"/>
    <x v="6"/>
    <x v="3"/>
    <x v="1"/>
    <n v="2"/>
    <n v="2999"/>
    <n v="0"/>
    <x v="1"/>
    <n v="5998"/>
    <n v="1800"/>
    <n v="2398"/>
    <n v="0.39979993331110369"/>
  </r>
  <r>
    <x v="316"/>
    <x v="13"/>
    <x v="88"/>
    <x v="5"/>
    <x v="2"/>
    <x v="2"/>
    <n v="4"/>
    <n v="399"/>
    <n v="0"/>
    <x v="1"/>
    <n v="1596"/>
    <n v="180"/>
    <n v="876"/>
    <n v="0.54887218045112784"/>
  </r>
  <r>
    <x v="317"/>
    <x v="113"/>
    <x v="102"/>
    <x v="5"/>
    <x v="2"/>
    <x v="1"/>
    <n v="1"/>
    <n v="399"/>
    <n v="0.1"/>
    <x v="4"/>
    <n v="359.1"/>
    <n v="180"/>
    <n v="179.10000000000002"/>
    <n v="0.49874686716791983"/>
  </r>
  <r>
    <x v="318"/>
    <x v="44"/>
    <x v="15"/>
    <x v="9"/>
    <x v="1"/>
    <x v="2"/>
    <n v="1"/>
    <n v="1499"/>
    <n v="0.1"/>
    <x v="4"/>
    <n v="1349.1000000000001"/>
    <n v="800"/>
    <n v="549.10000000000014"/>
    <n v="0.40701208212882667"/>
  </r>
  <r>
    <x v="319"/>
    <x v="210"/>
    <x v="148"/>
    <x v="7"/>
    <x v="1"/>
    <x v="3"/>
    <n v="2"/>
    <n v="799"/>
    <n v="0.15"/>
    <x v="0"/>
    <n v="1358.3"/>
    <n v="400"/>
    <n v="558.29999999999995"/>
    <n v="0.41102849149672382"/>
  </r>
  <r>
    <x v="320"/>
    <x v="0"/>
    <x v="18"/>
    <x v="5"/>
    <x v="2"/>
    <x v="0"/>
    <n v="2"/>
    <n v="399"/>
    <n v="0"/>
    <x v="2"/>
    <n v="798"/>
    <n v="180"/>
    <n v="438"/>
    <n v="0.54887218045112784"/>
  </r>
  <r>
    <x v="321"/>
    <x v="211"/>
    <x v="149"/>
    <x v="9"/>
    <x v="1"/>
    <x v="2"/>
    <n v="5"/>
    <n v="1499"/>
    <n v="0.05"/>
    <x v="3"/>
    <n v="7120.25"/>
    <n v="800"/>
    <n v="3120.25"/>
    <n v="0.43822197254309891"/>
  </r>
  <r>
    <x v="322"/>
    <x v="178"/>
    <x v="124"/>
    <x v="10"/>
    <x v="2"/>
    <x v="1"/>
    <n v="2"/>
    <n v="1299"/>
    <n v="0.05"/>
    <x v="3"/>
    <n v="2468.1"/>
    <n v="750"/>
    <n v="968.09999999999991"/>
    <n v="0.39224504679713135"/>
  </r>
  <r>
    <x v="323"/>
    <x v="113"/>
    <x v="43"/>
    <x v="9"/>
    <x v="1"/>
    <x v="1"/>
    <n v="1"/>
    <n v="1499"/>
    <n v="0.15"/>
    <x v="0"/>
    <n v="1274.1499999999999"/>
    <n v="800"/>
    <n v="474.14999999999986"/>
    <n v="0.3721304399011105"/>
  </r>
  <r>
    <x v="324"/>
    <x v="212"/>
    <x v="2"/>
    <x v="10"/>
    <x v="2"/>
    <x v="3"/>
    <n v="2"/>
    <n v="1299"/>
    <n v="0"/>
    <x v="3"/>
    <n v="2598"/>
    <n v="750"/>
    <n v="1098"/>
    <n v="0.42263279445727481"/>
  </r>
  <r>
    <x v="325"/>
    <x v="154"/>
    <x v="44"/>
    <x v="7"/>
    <x v="1"/>
    <x v="1"/>
    <n v="1"/>
    <n v="799"/>
    <n v="0.05"/>
    <x v="3"/>
    <n v="759.05"/>
    <n v="400"/>
    <n v="359.04999999999995"/>
    <n v="0.47302549239180552"/>
  </r>
  <r>
    <x v="326"/>
    <x v="113"/>
    <x v="150"/>
    <x v="11"/>
    <x v="3"/>
    <x v="1"/>
    <n v="1"/>
    <n v="999"/>
    <n v="0.05"/>
    <x v="3"/>
    <n v="949.05"/>
    <n v="550"/>
    <n v="399.04999999999995"/>
    <n v="0.42047310468363097"/>
  </r>
  <r>
    <x v="327"/>
    <x v="32"/>
    <x v="63"/>
    <x v="3"/>
    <x v="2"/>
    <x v="1"/>
    <n v="2"/>
    <n v="599"/>
    <n v="0.05"/>
    <x v="1"/>
    <n v="1138.0999999999999"/>
    <n v="300"/>
    <n v="538.09999999999991"/>
    <n v="0.47280555311484046"/>
  </r>
  <r>
    <x v="328"/>
    <x v="213"/>
    <x v="27"/>
    <x v="0"/>
    <x v="0"/>
    <x v="1"/>
    <n v="1"/>
    <n v="1999"/>
    <n v="0.1"/>
    <x v="0"/>
    <n v="1799.1000000000001"/>
    <n v="1200"/>
    <n v="599.10000000000014"/>
    <n v="0.33299983324995835"/>
  </r>
  <r>
    <x v="329"/>
    <x v="214"/>
    <x v="151"/>
    <x v="3"/>
    <x v="2"/>
    <x v="2"/>
    <n v="1"/>
    <n v="599"/>
    <n v="0.1"/>
    <x v="4"/>
    <n v="539.1"/>
    <n v="300"/>
    <n v="239.10000000000002"/>
    <n v="0.4435169727323317"/>
  </r>
  <r>
    <x v="330"/>
    <x v="215"/>
    <x v="132"/>
    <x v="6"/>
    <x v="3"/>
    <x v="0"/>
    <n v="1"/>
    <n v="2999"/>
    <n v="0.1"/>
    <x v="4"/>
    <n v="2699.1"/>
    <n v="1800"/>
    <n v="899.09999999999991"/>
    <n v="0.33311103701233741"/>
  </r>
  <r>
    <x v="331"/>
    <x v="111"/>
    <x v="80"/>
    <x v="8"/>
    <x v="3"/>
    <x v="0"/>
    <n v="1"/>
    <n v="1799"/>
    <n v="0"/>
    <x v="0"/>
    <n v="1799"/>
    <n v="1000"/>
    <n v="799"/>
    <n v="0.4441356309060589"/>
  </r>
  <r>
    <x v="332"/>
    <x v="126"/>
    <x v="144"/>
    <x v="11"/>
    <x v="3"/>
    <x v="2"/>
    <n v="2"/>
    <n v="999"/>
    <n v="0.05"/>
    <x v="1"/>
    <n v="1898.1"/>
    <n v="550"/>
    <n v="798.09999999999991"/>
    <n v="0.42047310468363097"/>
  </r>
  <r>
    <x v="333"/>
    <x v="25"/>
    <x v="53"/>
    <x v="5"/>
    <x v="2"/>
    <x v="1"/>
    <n v="1"/>
    <n v="399"/>
    <n v="0"/>
    <x v="0"/>
    <n v="399"/>
    <n v="180"/>
    <n v="219"/>
    <n v="0.54887218045112784"/>
  </r>
  <r>
    <x v="334"/>
    <x v="216"/>
    <x v="118"/>
    <x v="2"/>
    <x v="1"/>
    <x v="1"/>
    <n v="3"/>
    <n v="3999"/>
    <n v="0.15"/>
    <x v="1"/>
    <n v="10197.449999999999"/>
    <n v="2600"/>
    <n v="2397.4499999999989"/>
    <n v="0.23510289337040136"/>
  </r>
  <r>
    <x v="335"/>
    <x v="217"/>
    <x v="7"/>
    <x v="1"/>
    <x v="0"/>
    <x v="1"/>
    <n v="2"/>
    <n v="2499"/>
    <n v="0.05"/>
    <x v="1"/>
    <n v="4748.0999999999995"/>
    <n v="1600"/>
    <n v="1548.0999999999995"/>
    <n v="0.3260462079568669"/>
  </r>
  <r>
    <x v="336"/>
    <x v="169"/>
    <x v="152"/>
    <x v="11"/>
    <x v="3"/>
    <x v="1"/>
    <n v="1"/>
    <n v="999"/>
    <n v="0"/>
    <x v="1"/>
    <n v="999"/>
    <n v="550"/>
    <n v="449"/>
    <n v="0.44944944944944942"/>
  </r>
  <r>
    <x v="337"/>
    <x v="171"/>
    <x v="126"/>
    <x v="10"/>
    <x v="2"/>
    <x v="3"/>
    <n v="3"/>
    <n v="1299"/>
    <n v="0.1"/>
    <x v="3"/>
    <n v="3507.3"/>
    <n v="750"/>
    <n v="1257.3000000000002"/>
    <n v="0.35848088273030537"/>
  </r>
  <r>
    <x v="338"/>
    <x v="218"/>
    <x v="63"/>
    <x v="5"/>
    <x v="2"/>
    <x v="0"/>
    <n v="1"/>
    <n v="399"/>
    <n v="0.15"/>
    <x v="2"/>
    <n v="339.15"/>
    <n v="180"/>
    <n v="159.14999999999998"/>
    <n v="0.46926138876603268"/>
  </r>
  <r>
    <x v="339"/>
    <x v="124"/>
    <x v="115"/>
    <x v="0"/>
    <x v="0"/>
    <x v="0"/>
    <n v="2"/>
    <n v="1999"/>
    <n v="0.05"/>
    <x v="2"/>
    <n v="3798.1"/>
    <n v="1200"/>
    <n v="1398.1"/>
    <n v="0.368105105184171"/>
  </r>
  <r>
    <x v="340"/>
    <x v="147"/>
    <x v="96"/>
    <x v="0"/>
    <x v="0"/>
    <x v="2"/>
    <n v="5"/>
    <n v="1999"/>
    <n v="0.15"/>
    <x v="3"/>
    <n v="8495.75"/>
    <n v="1200"/>
    <n v="2495.75"/>
    <n v="0.29376452932348529"/>
  </r>
  <r>
    <x v="341"/>
    <x v="200"/>
    <x v="34"/>
    <x v="6"/>
    <x v="3"/>
    <x v="0"/>
    <n v="1"/>
    <n v="2999"/>
    <n v="0"/>
    <x v="3"/>
    <n v="2999"/>
    <n v="1800"/>
    <n v="1199"/>
    <n v="0.39979993331110369"/>
  </r>
  <r>
    <x v="342"/>
    <x v="219"/>
    <x v="21"/>
    <x v="10"/>
    <x v="2"/>
    <x v="2"/>
    <n v="1"/>
    <n v="1299"/>
    <n v="0.1"/>
    <x v="0"/>
    <n v="1169.1000000000001"/>
    <n v="750"/>
    <n v="419.10000000000014"/>
    <n v="0.35848088273030543"/>
  </r>
  <r>
    <x v="343"/>
    <x v="149"/>
    <x v="51"/>
    <x v="6"/>
    <x v="3"/>
    <x v="0"/>
    <n v="2"/>
    <n v="2999"/>
    <n v="0"/>
    <x v="4"/>
    <n v="5998"/>
    <n v="1800"/>
    <n v="2398"/>
    <n v="0.39979993331110369"/>
  </r>
  <r>
    <x v="344"/>
    <x v="220"/>
    <x v="130"/>
    <x v="7"/>
    <x v="1"/>
    <x v="3"/>
    <n v="1"/>
    <n v="799"/>
    <n v="0.05"/>
    <x v="0"/>
    <n v="759.05"/>
    <n v="400"/>
    <n v="359.04999999999995"/>
    <n v="0.47302549239180552"/>
  </r>
  <r>
    <x v="345"/>
    <x v="6"/>
    <x v="58"/>
    <x v="0"/>
    <x v="0"/>
    <x v="1"/>
    <n v="1"/>
    <n v="1999"/>
    <n v="0.1"/>
    <x v="0"/>
    <n v="1799.1000000000001"/>
    <n v="1200"/>
    <n v="599.10000000000014"/>
    <n v="0.33299983324995835"/>
  </r>
  <r>
    <x v="346"/>
    <x v="221"/>
    <x v="3"/>
    <x v="9"/>
    <x v="1"/>
    <x v="0"/>
    <n v="2"/>
    <n v="1499"/>
    <n v="0"/>
    <x v="4"/>
    <n v="2998"/>
    <n v="800"/>
    <n v="1398"/>
    <n v="0.46631087391594395"/>
  </r>
  <r>
    <x v="347"/>
    <x v="222"/>
    <x v="153"/>
    <x v="10"/>
    <x v="2"/>
    <x v="1"/>
    <n v="4"/>
    <n v="1299"/>
    <n v="0.2"/>
    <x v="2"/>
    <n v="4156.8"/>
    <n v="750"/>
    <n v="1156.8000000000002"/>
    <n v="0.27829099307159355"/>
  </r>
  <r>
    <x v="348"/>
    <x v="138"/>
    <x v="34"/>
    <x v="2"/>
    <x v="1"/>
    <x v="0"/>
    <n v="2"/>
    <n v="3999"/>
    <n v="0.05"/>
    <x v="3"/>
    <n v="7598.0999999999995"/>
    <n v="2600"/>
    <n v="2398.0999999999995"/>
    <n v="0.3156183782787802"/>
  </r>
  <r>
    <x v="349"/>
    <x v="114"/>
    <x v="42"/>
    <x v="6"/>
    <x v="3"/>
    <x v="3"/>
    <n v="2"/>
    <n v="2999"/>
    <n v="0.1"/>
    <x v="4"/>
    <n v="5398.2"/>
    <n v="1800"/>
    <n v="1798.1999999999998"/>
    <n v="0.33311103701233741"/>
  </r>
  <r>
    <x v="350"/>
    <x v="223"/>
    <x v="143"/>
    <x v="11"/>
    <x v="3"/>
    <x v="2"/>
    <n v="2"/>
    <n v="999"/>
    <n v="0.15"/>
    <x v="4"/>
    <n v="1698.3"/>
    <n v="550"/>
    <n v="598.29999999999995"/>
    <n v="0.35229346994052874"/>
  </r>
  <r>
    <x v="351"/>
    <x v="220"/>
    <x v="48"/>
    <x v="5"/>
    <x v="2"/>
    <x v="0"/>
    <n v="1"/>
    <n v="399"/>
    <n v="0.05"/>
    <x v="1"/>
    <n v="379.04999999999995"/>
    <n v="180"/>
    <n v="199.04999999999995"/>
    <n v="0.52512861100118713"/>
  </r>
  <r>
    <x v="352"/>
    <x v="224"/>
    <x v="56"/>
    <x v="8"/>
    <x v="3"/>
    <x v="2"/>
    <n v="4"/>
    <n v="1799"/>
    <n v="0.05"/>
    <x v="4"/>
    <n v="6836.2"/>
    <n v="1000"/>
    <n v="2836.2"/>
    <n v="0.41487961148006203"/>
  </r>
  <r>
    <x v="353"/>
    <x v="211"/>
    <x v="141"/>
    <x v="5"/>
    <x v="2"/>
    <x v="0"/>
    <n v="1"/>
    <n v="399"/>
    <n v="0.05"/>
    <x v="2"/>
    <n v="379.04999999999995"/>
    <n v="180"/>
    <n v="199.04999999999995"/>
    <n v="0.52512861100118713"/>
  </r>
  <r>
    <x v="354"/>
    <x v="225"/>
    <x v="29"/>
    <x v="7"/>
    <x v="1"/>
    <x v="2"/>
    <n v="1"/>
    <n v="799"/>
    <n v="0.1"/>
    <x v="2"/>
    <n v="719.1"/>
    <n v="400"/>
    <n v="319.10000000000002"/>
    <n v="0.44374913085801698"/>
  </r>
  <r>
    <x v="355"/>
    <x v="226"/>
    <x v="10"/>
    <x v="9"/>
    <x v="1"/>
    <x v="2"/>
    <n v="3"/>
    <n v="1499"/>
    <n v="0"/>
    <x v="1"/>
    <n v="4497"/>
    <n v="800"/>
    <n v="2097"/>
    <n v="0.46631087391594395"/>
  </r>
  <r>
    <x v="356"/>
    <x v="227"/>
    <x v="55"/>
    <x v="0"/>
    <x v="0"/>
    <x v="1"/>
    <n v="2"/>
    <n v="1999"/>
    <n v="0.15"/>
    <x v="0"/>
    <n v="3398.2999999999997"/>
    <n v="1200"/>
    <n v="998.29999999999973"/>
    <n v="0.29376452932348524"/>
  </r>
  <r>
    <x v="357"/>
    <x v="76"/>
    <x v="51"/>
    <x v="4"/>
    <x v="0"/>
    <x v="0"/>
    <n v="3"/>
    <n v="3499"/>
    <n v="0"/>
    <x v="0"/>
    <n v="10497"/>
    <n v="2300"/>
    <n v="3597"/>
    <n v="0.34266933409545586"/>
  </r>
  <r>
    <x v="358"/>
    <x v="82"/>
    <x v="2"/>
    <x v="11"/>
    <x v="3"/>
    <x v="2"/>
    <n v="1"/>
    <n v="999"/>
    <n v="0.1"/>
    <x v="2"/>
    <n v="899.1"/>
    <n v="550"/>
    <n v="349.1"/>
    <n v="0.38827716605494383"/>
  </r>
  <r>
    <x v="359"/>
    <x v="224"/>
    <x v="26"/>
    <x v="8"/>
    <x v="3"/>
    <x v="3"/>
    <n v="2"/>
    <n v="1799"/>
    <n v="0"/>
    <x v="3"/>
    <n v="3598"/>
    <n v="1000"/>
    <n v="1598"/>
    <n v="0.4441356309060589"/>
  </r>
  <r>
    <x v="360"/>
    <x v="207"/>
    <x v="85"/>
    <x v="8"/>
    <x v="3"/>
    <x v="0"/>
    <n v="3"/>
    <n v="1799"/>
    <n v="0.1"/>
    <x v="0"/>
    <n v="4857.3"/>
    <n v="1000"/>
    <n v="1857.3000000000002"/>
    <n v="0.38237292322895439"/>
  </r>
  <r>
    <x v="361"/>
    <x v="134"/>
    <x v="104"/>
    <x v="4"/>
    <x v="0"/>
    <x v="3"/>
    <n v="1"/>
    <n v="3499"/>
    <n v="0.1"/>
    <x v="4"/>
    <n v="3149.1"/>
    <n v="2300"/>
    <n v="849.09999999999991"/>
    <n v="0.26963259343939538"/>
  </r>
  <r>
    <x v="362"/>
    <x v="54"/>
    <x v="125"/>
    <x v="1"/>
    <x v="0"/>
    <x v="0"/>
    <n v="1"/>
    <n v="2499"/>
    <n v="0.05"/>
    <x v="1"/>
    <n v="2374.0499999999997"/>
    <n v="1600"/>
    <n v="774.04999999999973"/>
    <n v="0.3260462079568669"/>
  </r>
  <r>
    <x v="363"/>
    <x v="124"/>
    <x v="89"/>
    <x v="1"/>
    <x v="0"/>
    <x v="1"/>
    <n v="2"/>
    <n v="2499"/>
    <n v="0.15"/>
    <x v="0"/>
    <n v="4248.3"/>
    <n v="1600"/>
    <n v="1048.3000000000002"/>
    <n v="0.24675752654002781"/>
  </r>
  <r>
    <x v="364"/>
    <x v="228"/>
    <x v="8"/>
    <x v="6"/>
    <x v="3"/>
    <x v="1"/>
    <n v="2"/>
    <n v="2999"/>
    <n v="0"/>
    <x v="1"/>
    <n v="5998"/>
    <n v="1800"/>
    <n v="2398"/>
    <n v="0.39979993331110369"/>
  </r>
  <r>
    <x v="365"/>
    <x v="229"/>
    <x v="13"/>
    <x v="6"/>
    <x v="3"/>
    <x v="1"/>
    <n v="2"/>
    <n v="2999"/>
    <n v="0"/>
    <x v="3"/>
    <n v="5998"/>
    <n v="1800"/>
    <n v="2398"/>
    <n v="0.39979993331110369"/>
  </r>
  <r>
    <x v="366"/>
    <x v="230"/>
    <x v="154"/>
    <x v="10"/>
    <x v="2"/>
    <x v="2"/>
    <n v="4"/>
    <n v="1299"/>
    <n v="0.1"/>
    <x v="4"/>
    <n v="4676.4000000000005"/>
    <n v="750"/>
    <n v="1676.4000000000005"/>
    <n v="0.35848088273030543"/>
  </r>
  <r>
    <x v="367"/>
    <x v="93"/>
    <x v="78"/>
    <x v="7"/>
    <x v="1"/>
    <x v="1"/>
    <n v="4"/>
    <n v="799"/>
    <n v="0.15"/>
    <x v="1"/>
    <n v="2716.6"/>
    <n v="400"/>
    <n v="1116.5999999999999"/>
    <n v="0.41102849149672382"/>
  </r>
  <r>
    <x v="368"/>
    <x v="231"/>
    <x v="85"/>
    <x v="10"/>
    <x v="2"/>
    <x v="2"/>
    <n v="2"/>
    <n v="1299"/>
    <n v="0.1"/>
    <x v="0"/>
    <n v="2338.2000000000003"/>
    <n v="750"/>
    <n v="838.20000000000027"/>
    <n v="0.35848088273030543"/>
  </r>
  <r>
    <x v="369"/>
    <x v="124"/>
    <x v="19"/>
    <x v="2"/>
    <x v="1"/>
    <x v="2"/>
    <n v="1"/>
    <n v="3999"/>
    <n v="0.15"/>
    <x v="3"/>
    <n v="3399.15"/>
    <n v="2600"/>
    <n v="799.15000000000009"/>
    <n v="0.23510289337040144"/>
  </r>
  <r>
    <x v="370"/>
    <x v="27"/>
    <x v="16"/>
    <x v="9"/>
    <x v="1"/>
    <x v="1"/>
    <n v="1"/>
    <n v="1499"/>
    <n v="0.2"/>
    <x v="3"/>
    <n v="1199.2"/>
    <n v="800"/>
    <n v="399.20000000000005"/>
    <n v="0.33288859239492996"/>
  </r>
  <r>
    <x v="371"/>
    <x v="232"/>
    <x v="87"/>
    <x v="1"/>
    <x v="0"/>
    <x v="3"/>
    <n v="1"/>
    <n v="2499"/>
    <n v="0.15"/>
    <x v="3"/>
    <n v="2124.15"/>
    <n v="1600"/>
    <n v="524.15000000000009"/>
    <n v="0.24675752654002781"/>
  </r>
  <r>
    <x v="372"/>
    <x v="186"/>
    <x v="84"/>
    <x v="6"/>
    <x v="3"/>
    <x v="3"/>
    <n v="4"/>
    <n v="2999"/>
    <n v="0"/>
    <x v="2"/>
    <n v="11996"/>
    <n v="1800"/>
    <n v="4796"/>
    <n v="0.39979993331110369"/>
  </r>
  <r>
    <x v="373"/>
    <x v="233"/>
    <x v="154"/>
    <x v="5"/>
    <x v="2"/>
    <x v="0"/>
    <n v="2"/>
    <n v="399"/>
    <n v="0.05"/>
    <x v="3"/>
    <n v="758.09999999999991"/>
    <n v="180"/>
    <n v="398.09999999999991"/>
    <n v="0.52512861100118713"/>
  </r>
  <r>
    <x v="374"/>
    <x v="216"/>
    <x v="8"/>
    <x v="1"/>
    <x v="0"/>
    <x v="0"/>
    <n v="3"/>
    <n v="2499"/>
    <n v="0"/>
    <x v="0"/>
    <n v="7497"/>
    <n v="1600"/>
    <n v="2697"/>
    <n v="0.35974389755902358"/>
  </r>
  <r>
    <x v="375"/>
    <x v="229"/>
    <x v="102"/>
    <x v="4"/>
    <x v="0"/>
    <x v="0"/>
    <n v="1"/>
    <n v="3499"/>
    <n v="0.1"/>
    <x v="2"/>
    <n v="3149.1"/>
    <n v="2300"/>
    <n v="849.09999999999991"/>
    <n v="0.26963259343939538"/>
  </r>
  <r>
    <x v="376"/>
    <x v="115"/>
    <x v="15"/>
    <x v="1"/>
    <x v="0"/>
    <x v="2"/>
    <n v="1"/>
    <n v="2499"/>
    <n v="0.15"/>
    <x v="4"/>
    <n v="2124.15"/>
    <n v="1600"/>
    <n v="524.15000000000009"/>
    <n v="0.24675752654002781"/>
  </r>
  <r>
    <x v="377"/>
    <x v="234"/>
    <x v="129"/>
    <x v="4"/>
    <x v="0"/>
    <x v="2"/>
    <n v="1"/>
    <n v="3499"/>
    <n v="0.05"/>
    <x v="0"/>
    <n v="3324.0499999999997"/>
    <n v="2300"/>
    <n v="1024.0499999999997"/>
    <n v="0.30807298325837451"/>
  </r>
  <r>
    <x v="378"/>
    <x v="235"/>
    <x v="155"/>
    <x v="5"/>
    <x v="2"/>
    <x v="3"/>
    <n v="2"/>
    <n v="399"/>
    <n v="0.05"/>
    <x v="2"/>
    <n v="758.09999999999991"/>
    <n v="180"/>
    <n v="398.09999999999991"/>
    <n v="0.52512861100118713"/>
  </r>
  <r>
    <x v="379"/>
    <x v="94"/>
    <x v="126"/>
    <x v="6"/>
    <x v="3"/>
    <x v="0"/>
    <n v="1"/>
    <n v="2999"/>
    <n v="0"/>
    <x v="3"/>
    <n v="2999"/>
    <n v="1800"/>
    <n v="1199"/>
    <n v="0.39979993331110369"/>
  </r>
  <r>
    <x v="380"/>
    <x v="236"/>
    <x v="10"/>
    <x v="7"/>
    <x v="1"/>
    <x v="3"/>
    <n v="1"/>
    <n v="799"/>
    <n v="0"/>
    <x v="4"/>
    <n v="799"/>
    <n v="400"/>
    <n v="399"/>
    <n v="0.49937421777221525"/>
  </r>
  <r>
    <x v="381"/>
    <x v="237"/>
    <x v="127"/>
    <x v="1"/>
    <x v="0"/>
    <x v="3"/>
    <n v="1"/>
    <n v="2499"/>
    <n v="0"/>
    <x v="2"/>
    <n v="2499"/>
    <n v="1600"/>
    <n v="899"/>
    <n v="0.35974389755902358"/>
  </r>
  <r>
    <x v="382"/>
    <x v="238"/>
    <x v="15"/>
    <x v="3"/>
    <x v="2"/>
    <x v="2"/>
    <n v="4"/>
    <n v="599"/>
    <n v="0.1"/>
    <x v="3"/>
    <n v="2156.4"/>
    <n v="300"/>
    <n v="956.40000000000009"/>
    <n v="0.4435169727323317"/>
  </r>
  <r>
    <x v="383"/>
    <x v="175"/>
    <x v="141"/>
    <x v="11"/>
    <x v="3"/>
    <x v="2"/>
    <n v="1"/>
    <n v="999"/>
    <n v="0"/>
    <x v="4"/>
    <n v="999"/>
    <n v="550"/>
    <n v="449"/>
    <n v="0.44944944944944942"/>
  </r>
  <r>
    <x v="384"/>
    <x v="239"/>
    <x v="8"/>
    <x v="5"/>
    <x v="2"/>
    <x v="0"/>
    <n v="1"/>
    <n v="399"/>
    <n v="0.05"/>
    <x v="4"/>
    <n v="379.04999999999995"/>
    <n v="180"/>
    <n v="199.04999999999995"/>
    <n v="0.52512861100118713"/>
  </r>
  <r>
    <x v="385"/>
    <x v="114"/>
    <x v="69"/>
    <x v="9"/>
    <x v="1"/>
    <x v="2"/>
    <n v="1"/>
    <n v="1499"/>
    <n v="0"/>
    <x v="4"/>
    <n v="1499"/>
    <n v="800"/>
    <n v="699"/>
    <n v="0.46631087391594395"/>
  </r>
  <r>
    <x v="386"/>
    <x v="177"/>
    <x v="106"/>
    <x v="7"/>
    <x v="1"/>
    <x v="0"/>
    <n v="2"/>
    <n v="799"/>
    <n v="0.05"/>
    <x v="4"/>
    <n v="1518.1"/>
    <n v="400"/>
    <n v="718.09999999999991"/>
    <n v="0.47302549239180552"/>
  </r>
  <r>
    <x v="387"/>
    <x v="240"/>
    <x v="4"/>
    <x v="6"/>
    <x v="3"/>
    <x v="0"/>
    <n v="1"/>
    <n v="2999"/>
    <n v="0.15"/>
    <x v="3"/>
    <n v="2549.15"/>
    <n v="1800"/>
    <n v="749.15000000000009"/>
    <n v="0.29388227448365145"/>
  </r>
  <r>
    <x v="388"/>
    <x v="77"/>
    <x v="137"/>
    <x v="7"/>
    <x v="1"/>
    <x v="2"/>
    <n v="3"/>
    <n v="799"/>
    <n v="0"/>
    <x v="1"/>
    <n v="2397"/>
    <n v="400"/>
    <n v="1197"/>
    <n v="0.49937421777221525"/>
  </r>
  <r>
    <x v="389"/>
    <x v="110"/>
    <x v="126"/>
    <x v="9"/>
    <x v="1"/>
    <x v="2"/>
    <n v="1"/>
    <n v="1499"/>
    <n v="0.15"/>
    <x v="2"/>
    <n v="1274.1499999999999"/>
    <n v="800"/>
    <n v="474.14999999999986"/>
    <n v="0.3721304399011105"/>
  </r>
  <r>
    <x v="390"/>
    <x v="13"/>
    <x v="128"/>
    <x v="3"/>
    <x v="2"/>
    <x v="2"/>
    <n v="1"/>
    <n v="599"/>
    <n v="0.1"/>
    <x v="2"/>
    <n v="539.1"/>
    <n v="300"/>
    <n v="239.10000000000002"/>
    <n v="0.4435169727323317"/>
  </r>
  <r>
    <x v="391"/>
    <x v="41"/>
    <x v="132"/>
    <x v="2"/>
    <x v="1"/>
    <x v="2"/>
    <n v="2"/>
    <n v="3999"/>
    <n v="0.05"/>
    <x v="3"/>
    <n v="7598.0999999999995"/>
    <n v="2600"/>
    <n v="2398.0999999999995"/>
    <n v="0.3156183782787802"/>
  </r>
  <r>
    <x v="392"/>
    <x v="50"/>
    <x v="15"/>
    <x v="9"/>
    <x v="1"/>
    <x v="1"/>
    <n v="3"/>
    <n v="1499"/>
    <n v="0.05"/>
    <x v="0"/>
    <n v="4272.1499999999996"/>
    <n v="800"/>
    <n v="1872.1499999999996"/>
    <n v="0.43822197254309886"/>
  </r>
  <r>
    <x v="393"/>
    <x v="31"/>
    <x v="54"/>
    <x v="7"/>
    <x v="1"/>
    <x v="1"/>
    <n v="1"/>
    <n v="799"/>
    <n v="0.1"/>
    <x v="3"/>
    <n v="719.1"/>
    <n v="400"/>
    <n v="319.10000000000002"/>
    <n v="0.44374913085801698"/>
  </r>
  <r>
    <x v="394"/>
    <x v="189"/>
    <x v="110"/>
    <x v="7"/>
    <x v="1"/>
    <x v="2"/>
    <n v="1"/>
    <n v="799"/>
    <n v="0.1"/>
    <x v="0"/>
    <n v="719.1"/>
    <n v="400"/>
    <n v="319.10000000000002"/>
    <n v="0.44374913085801698"/>
  </r>
  <r>
    <x v="395"/>
    <x v="17"/>
    <x v="156"/>
    <x v="3"/>
    <x v="2"/>
    <x v="0"/>
    <n v="1"/>
    <n v="599"/>
    <n v="0.1"/>
    <x v="2"/>
    <n v="539.1"/>
    <n v="300"/>
    <n v="239.10000000000002"/>
    <n v="0.4435169727323317"/>
  </r>
  <r>
    <x v="396"/>
    <x v="20"/>
    <x v="157"/>
    <x v="11"/>
    <x v="3"/>
    <x v="0"/>
    <n v="3"/>
    <n v="999"/>
    <n v="0.05"/>
    <x v="4"/>
    <n v="2847.15"/>
    <n v="550"/>
    <n v="1197.1500000000001"/>
    <n v="0.42047310468363103"/>
  </r>
  <r>
    <x v="397"/>
    <x v="56"/>
    <x v="86"/>
    <x v="1"/>
    <x v="0"/>
    <x v="1"/>
    <n v="1"/>
    <n v="2499"/>
    <n v="0.15"/>
    <x v="0"/>
    <n v="2124.15"/>
    <n v="1600"/>
    <n v="524.15000000000009"/>
    <n v="0.24675752654002781"/>
  </r>
  <r>
    <x v="398"/>
    <x v="241"/>
    <x v="122"/>
    <x v="3"/>
    <x v="2"/>
    <x v="2"/>
    <n v="1"/>
    <n v="599"/>
    <n v="0.1"/>
    <x v="4"/>
    <n v="539.1"/>
    <n v="300"/>
    <n v="239.10000000000002"/>
    <n v="0.4435169727323317"/>
  </r>
  <r>
    <x v="399"/>
    <x v="242"/>
    <x v="5"/>
    <x v="11"/>
    <x v="3"/>
    <x v="1"/>
    <n v="2"/>
    <n v="999"/>
    <n v="0.05"/>
    <x v="4"/>
    <n v="1898.1"/>
    <n v="550"/>
    <n v="798.09999999999991"/>
    <n v="0.42047310468363097"/>
  </r>
  <r>
    <x v="400"/>
    <x v="169"/>
    <x v="44"/>
    <x v="0"/>
    <x v="0"/>
    <x v="0"/>
    <n v="3"/>
    <n v="1999"/>
    <n v="0.1"/>
    <x v="1"/>
    <n v="5397.3"/>
    <n v="1200"/>
    <n v="1797.3000000000002"/>
    <n v="0.33299983324995835"/>
  </r>
  <r>
    <x v="401"/>
    <x v="243"/>
    <x v="146"/>
    <x v="8"/>
    <x v="3"/>
    <x v="2"/>
    <n v="1"/>
    <n v="1799"/>
    <n v="0.05"/>
    <x v="1"/>
    <n v="1709.05"/>
    <n v="1000"/>
    <n v="709.05"/>
    <n v="0.41487961148006203"/>
  </r>
  <r>
    <x v="402"/>
    <x v="228"/>
    <x v="158"/>
    <x v="4"/>
    <x v="0"/>
    <x v="2"/>
    <n v="1"/>
    <n v="3499"/>
    <n v="0.1"/>
    <x v="0"/>
    <n v="3149.1"/>
    <n v="2300"/>
    <n v="849.09999999999991"/>
    <n v="0.26963259343939538"/>
  </r>
  <r>
    <x v="403"/>
    <x v="186"/>
    <x v="141"/>
    <x v="11"/>
    <x v="3"/>
    <x v="0"/>
    <n v="2"/>
    <n v="999"/>
    <n v="0.05"/>
    <x v="1"/>
    <n v="1898.1"/>
    <n v="550"/>
    <n v="798.09999999999991"/>
    <n v="0.42047310468363097"/>
  </r>
  <r>
    <x v="404"/>
    <x v="244"/>
    <x v="159"/>
    <x v="2"/>
    <x v="1"/>
    <x v="0"/>
    <n v="1"/>
    <n v="3999"/>
    <n v="0.15"/>
    <x v="4"/>
    <n v="3399.15"/>
    <n v="2600"/>
    <n v="799.15000000000009"/>
    <n v="0.23510289337040144"/>
  </r>
  <r>
    <x v="405"/>
    <x v="152"/>
    <x v="141"/>
    <x v="11"/>
    <x v="3"/>
    <x v="2"/>
    <n v="1"/>
    <n v="999"/>
    <n v="0.1"/>
    <x v="3"/>
    <n v="899.1"/>
    <n v="550"/>
    <n v="349.1"/>
    <n v="0.38827716605494383"/>
  </r>
  <r>
    <x v="406"/>
    <x v="0"/>
    <x v="12"/>
    <x v="2"/>
    <x v="1"/>
    <x v="1"/>
    <n v="1"/>
    <n v="3999"/>
    <n v="0.05"/>
    <x v="4"/>
    <n v="3799.0499999999997"/>
    <n v="2600"/>
    <n v="1199.0499999999997"/>
    <n v="0.3156183782787802"/>
  </r>
  <r>
    <x v="407"/>
    <x v="245"/>
    <x v="53"/>
    <x v="2"/>
    <x v="1"/>
    <x v="3"/>
    <n v="1"/>
    <n v="3999"/>
    <n v="0.1"/>
    <x v="3"/>
    <n v="3599.1"/>
    <n v="2600"/>
    <n v="999.09999999999991"/>
    <n v="0.27759717707204579"/>
  </r>
  <r>
    <x v="408"/>
    <x v="246"/>
    <x v="120"/>
    <x v="7"/>
    <x v="1"/>
    <x v="3"/>
    <n v="1"/>
    <n v="799"/>
    <n v="0"/>
    <x v="0"/>
    <n v="799"/>
    <n v="400"/>
    <n v="399"/>
    <n v="0.49937421777221525"/>
  </r>
  <r>
    <x v="409"/>
    <x v="247"/>
    <x v="107"/>
    <x v="9"/>
    <x v="1"/>
    <x v="0"/>
    <n v="1"/>
    <n v="1499"/>
    <n v="0.05"/>
    <x v="3"/>
    <n v="1424.05"/>
    <n v="800"/>
    <n v="624.04999999999995"/>
    <n v="0.43822197254309891"/>
  </r>
  <r>
    <x v="410"/>
    <x v="125"/>
    <x v="160"/>
    <x v="4"/>
    <x v="0"/>
    <x v="0"/>
    <n v="2"/>
    <n v="3499"/>
    <n v="0.05"/>
    <x v="3"/>
    <n v="6648.0999999999995"/>
    <n v="2300"/>
    <n v="2048.0999999999995"/>
    <n v="0.30807298325837451"/>
  </r>
  <r>
    <x v="411"/>
    <x v="119"/>
    <x v="20"/>
    <x v="3"/>
    <x v="2"/>
    <x v="2"/>
    <n v="1"/>
    <n v="599"/>
    <n v="0"/>
    <x v="3"/>
    <n v="599"/>
    <n v="300"/>
    <n v="299"/>
    <n v="0.4991652754590985"/>
  </r>
  <r>
    <x v="412"/>
    <x v="248"/>
    <x v="117"/>
    <x v="0"/>
    <x v="0"/>
    <x v="2"/>
    <n v="2"/>
    <n v="1999"/>
    <n v="0"/>
    <x v="3"/>
    <n v="3998"/>
    <n v="1200"/>
    <n v="1598"/>
    <n v="0.39969984992496249"/>
  </r>
  <r>
    <x v="413"/>
    <x v="249"/>
    <x v="29"/>
    <x v="11"/>
    <x v="3"/>
    <x v="2"/>
    <n v="1"/>
    <n v="999"/>
    <n v="0.05"/>
    <x v="2"/>
    <n v="949.05"/>
    <n v="550"/>
    <n v="399.04999999999995"/>
    <n v="0.42047310468363097"/>
  </r>
  <r>
    <x v="414"/>
    <x v="119"/>
    <x v="120"/>
    <x v="2"/>
    <x v="1"/>
    <x v="3"/>
    <n v="1"/>
    <n v="3999"/>
    <n v="0.1"/>
    <x v="0"/>
    <n v="3599.1"/>
    <n v="2600"/>
    <n v="999.09999999999991"/>
    <n v="0.27759717707204579"/>
  </r>
  <r>
    <x v="415"/>
    <x v="73"/>
    <x v="25"/>
    <x v="8"/>
    <x v="3"/>
    <x v="2"/>
    <n v="1"/>
    <n v="1799"/>
    <n v="0.1"/>
    <x v="3"/>
    <n v="1619.1000000000001"/>
    <n v="1000"/>
    <n v="619.10000000000014"/>
    <n v="0.38237292322895439"/>
  </r>
  <r>
    <x v="416"/>
    <x v="65"/>
    <x v="0"/>
    <x v="2"/>
    <x v="1"/>
    <x v="3"/>
    <n v="1"/>
    <n v="3999"/>
    <n v="0.1"/>
    <x v="3"/>
    <n v="3599.1"/>
    <n v="2600"/>
    <n v="999.09999999999991"/>
    <n v="0.27759717707204579"/>
  </r>
  <r>
    <x v="417"/>
    <x v="230"/>
    <x v="65"/>
    <x v="8"/>
    <x v="3"/>
    <x v="0"/>
    <n v="1"/>
    <n v="1799"/>
    <n v="0.05"/>
    <x v="4"/>
    <n v="1709.05"/>
    <n v="1000"/>
    <n v="709.05"/>
    <n v="0.41487961148006203"/>
  </r>
  <r>
    <x v="418"/>
    <x v="11"/>
    <x v="91"/>
    <x v="3"/>
    <x v="2"/>
    <x v="2"/>
    <n v="1"/>
    <n v="599"/>
    <n v="0.15"/>
    <x v="0"/>
    <n v="509.15"/>
    <n v="300"/>
    <n v="209.14999999999998"/>
    <n v="0.41078267701070409"/>
  </r>
  <r>
    <x v="419"/>
    <x v="250"/>
    <x v="9"/>
    <x v="9"/>
    <x v="1"/>
    <x v="2"/>
    <n v="2"/>
    <n v="1499"/>
    <n v="0.05"/>
    <x v="1"/>
    <n v="2848.1"/>
    <n v="800"/>
    <n v="1248.0999999999999"/>
    <n v="0.43822197254309891"/>
  </r>
  <r>
    <x v="420"/>
    <x v="175"/>
    <x v="113"/>
    <x v="10"/>
    <x v="2"/>
    <x v="3"/>
    <n v="3"/>
    <n v="1299"/>
    <n v="0.15"/>
    <x v="3"/>
    <n v="3312.45"/>
    <n v="750"/>
    <n v="1062.4499999999998"/>
    <n v="0.32074446406738211"/>
  </r>
  <r>
    <x v="421"/>
    <x v="89"/>
    <x v="84"/>
    <x v="8"/>
    <x v="3"/>
    <x v="3"/>
    <n v="1"/>
    <n v="1799"/>
    <n v="0.2"/>
    <x v="4"/>
    <n v="1439.2"/>
    <n v="1000"/>
    <n v="439.20000000000005"/>
    <n v="0.30516953863257368"/>
  </r>
  <r>
    <x v="422"/>
    <x v="251"/>
    <x v="102"/>
    <x v="8"/>
    <x v="3"/>
    <x v="1"/>
    <n v="5"/>
    <n v="1799"/>
    <n v="0.1"/>
    <x v="1"/>
    <n v="8095.5"/>
    <n v="1000"/>
    <n v="3095.5"/>
    <n v="0.38237292322895433"/>
  </r>
  <r>
    <x v="423"/>
    <x v="252"/>
    <x v="121"/>
    <x v="3"/>
    <x v="2"/>
    <x v="0"/>
    <n v="3"/>
    <n v="599"/>
    <n v="0"/>
    <x v="1"/>
    <n v="1797"/>
    <n v="300"/>
    <n v="897"/>
    <n v="0.4991652754590985"/>
  </r>
  <r>
    <x v="424"/>
    <x v="139"/>
    <x v="139"/>
    <x v="10"/>
    <x v="2"/>
    <x v="2"/>
    <n v="3"/>
    <n v="1299"/>
    <n v="0.1"/>
    <x v="1"/>
    <n v="3507.3"/>
    <n v="750"/>
    <n v="1257.3000000000002"/>
    <n v="0.35848088273030537"/>
  </r>
  <r>
    <x v="425"/>
    <x v="60"/>
    <x v="158"/>
    <x v="3"/>
    <x v="2"/>
    <x v="1"/>
    <n v="2"/>
    <n v="599"/>
    <n v="0.05"/>
    <x v="0"/>
    <n v="1138.0999999999999"/>
    <n v="300"/>
    <n v="538.09999999999991"/>
    <n v="0.47280555311484046"/>
  </r>
  <r>
    <x v="426"/>
    <x v="253"/>
    <x v="143"/>
    <x v="9"/>
    <x v="1"/>
    <x v="3"/>
    <n v="1"/>
    <n v="1499"/>
    <n v="0.15"/>
    <x v="2"/>
    <n v="1274.1499999999999"/>
    <n v="800"/>
    <n v="474.14999999999986"/>
    <n v="0.3721304399011105"/>
  </r>
  <r>
    <x v="427"/>
    <x v="254"/>
    <x v="83"/>
    <x v="2"/>
    <x v="1"/>
    <x v="1"/>
    <n v="1"/>
    <n v="3999"/>
    <n v="0.1"/>
    <x v="2"/>
    <n v="3599.1"/>
    <n v="2600"/>
    <n v="999.09999999999991"/>
    <n v="0.27759717707204579"/>
  </r>
  <r>
    <x v="428"/>
    <x v="10"/>
    <x v="119"/>
    <x v="9"/>
    <x v="1"/>
    <x v="2"/>
    <n v="1"/>
    <n v="1499"/>
    <n v="0"/>
    <x v="1"/>
    <n v="1499"/>
    <n v="800"/>
    <n v="699"/>
    <n v="0.46631087391594395"/>
  </r>
  <r>
    <x v="429"/>
    <x v="157"/>
    <x v="41"/>
    <x v="11"/>
    <x v="3"/>
    <x v="3"/>
    <n v="1"/>
    <n v="999"/>
    <n v="0.15"/>
    <x v="3"/>
    <n v="849.15"/>
    <n v="550"/>
    <n v="299.14999999999998"/>
    <n v="0.35229346994052874"/>
  </r>
  <r>
    <x v="430"/>
    <x v="60"/>
    <x v="116"/>
    <x v="2"/>
    <x v="1"/>
    <x v="1"/>
    <n v="3"/>
    <n v="3999"/>
    <n v="0.1"/>
    <x v="0"/>
    <n v="10797.300000000001"/>
    <n v="2600"/>
    <n v="2997.3000000000011"/>
    <n v="0.27759717707204584"/>
  </r>
  <r>
    <x v="431"/>
    <x v="136"/>
    <x v="98"/>
    <x v="11"/>
    <x v="3"/>
    <x v="0"/>
    <n v="1"/>
    <n v="999"/>
    <n v="0.15"/>
    <x v="2"/>
    <n v="849.15"/>
    <n v="550"/>
    <n v="299.14999999999998"/>
    <n v="0.35229346994052874"/>
  </r>
  <r>
    <x v="432"/>
    <x v="255"/>
    <x v="33"/>
    <x v="6"/>
    <x v="3"/>
    <x v="0"/>
    <n v="1"/>
    <n v="2999"/>
    <n v="0.1"/>
    <x v="4"/>
    <n v="2699.1"/>
    <n v="1800"/>
    <n v="899.09999999999991"/>
    <n v="0.33311103701233741"/>
  </r>
  <r>
    <x v="433"/>
    <x v="210"/>
    <x v="115"/>
    <x v="1"/>
    <x v="0"/>
    <x v="3"/>
    <n v="2"/>
    <n v="2499"/>
    <n v="0"/>
    <x v="1"/>
    <n v="4998"/>
    <n v="1600"/>
    <n v="1798"/>
    <n v="0.35974389755902358"/>
  </r>
  <r>
    <x v="434"/>
    <x v="47"/>
    <x v="125"/>
    <x v="7"/>
    <x v="1"/>
    <x v="0"/>
    <n v="1"/>
    <n v="799"/>
    <n v="0.1"/>
    <x v="2"/>
    <n v="719.1"/>
    <n v="400"/>
    <n v="319.10000000000002"/>
    <n v="0.44374913085801698"/>
  </r>
  <r>
    <x v="435"/>
    <x v="12"/>
    <x v="46"/>
    <x v="9"/>
    <x v="1"/>
    <x v="1"/>
    <n v="1"/>
    <n v="1499"/>
    <n v="0"/>
    <x v="1"/>
    <n v="1499"/>
    <n v="800"/>
    <n v="699"/>
    <n v="0.46631087391594395"/>
  </r>
  <r>
    <x v="436"/>
    <x v="256"/>
    <x v="25"/>
    <x v="8"/>
    <x v="3"/>
    <x v="3"/>
    <n v="2"/>
    <n v="1799"/>
    <n v="0"/>
    <x v="0"/>
    <n v="3598"/>
    <n v="1000"/>
    <n v="1598"/>
    <n v="0.4441356309060589"/>
  </r>
  <r>
    <x v="437"/>
    <x v="35"/>
    <x v="106"/>
    <x v="4"/>
    <x v="0"/>
    <x v="1"/>
    <n v="2"/>
    <n v="3499"/>
    <n v="0"/>
    <x v="0"/>
    <n v="6998"/>
    <n v="2300"/>
    <n v="2398"/>
    <n v="0.34266933409545586"/>
  </r>
  <r>
    <x v="438"/>
    <x v="160"/>
    <x v="12"/>
    <x v="5"/>
    <x v="2"/>
    <x v="0"/>
    <n v="3"/>
    <n v="399"/>
    <n v="0"/>
    <x v="1"/>
    <n v="1197"/>
    <n v="180"/>
    <n v="657"/>
    <n v="0.54887218045112784"/>
  </r>
  <r>
    <x v="439"/>
    <x v="257"/>
    <x v="43"/>
    <x v="2"/>
    <x v="1"/>
    <x v="2"/>
    <n v="1"/>
    <n v="3999"/>
    <n v="0.1"/>
    <x v="4"/>
    <n v="3599.1"/>
    <n v="2600"/>
    <n v="999.09999999999991"/>
    <n v="0.27759717707204579"/>
  </r>
  <r>
    <x v="440"/>
    <x v="258"/>
    <x v="98"/>
    <x v="9"/>
    <x v="1"/>
    <x v="2"/>
    <n v="1"/>
    <n v="1499"/>
    <n v="0.05"/>
    <x v="1"/>
    <n v="1424.05"/>
    <n v="800"/>
    <n v="624.04999999999995"/>
    <n v="0.43822197254309891"/>
  </r>
  <r>
    <x v="441"/>
    <x v="259"/>
    <x v="156"/>
    <x v="4"/>
    <x v="0"/>
    <x v="2"/>
    <n v="3"/>
    <n v="3499"/>
    <n v="0.05"/>
    <x v="4"/>
    <n v="9972.15"/>
    <n v="2300"/>
    <n v="3072.1499999999996"/>
    <n v="0.30807298325837457"/>
  </r>
  <r>
    <x v="442"/>
    <x v="157"/>
    <x v="12"/>
    <x v="4"/>
    <x v="0"/>
    <x v="0"/>
    <n v="1"/>
    <n v="3499"/>
    <n v="0.1"/>
    <x v="3"/>
    <n v="3149.1"/>
    <n v="2300"/>
    <n v="849.09999999999991"/>
    <n v="0.26963259343939538"/>
  </r>
  <r>
    <x v="443"/>
    <x v="260"/>
    <x v="79"/>
    <x v="9"/>
    <x v="1"/>
    <x v="1"/>
    <n v="2"/>
    <n v="1499"/>
    <n v="0.1"/>
    <x v="4"/>
    <n v="2698.2000000000003"/>
    <n v="800"/>
    <n v="1098.2000000000003"/>
    <n v="0.40701208212882667"/>
  </r>
  <r>
    <x v="444"/>
    <x v="217"/>
    <x v="161"/>
    <x v="2"/>
    <x v="1"/>
    <x v="3"/>
    <n v="2"/>
    <n v="3999"/>
    <n v="0.1"/>
    <x v="0"/>
    <n v="7198.2"/>
    <n v="2600"/>
    <n v="1998.1999999999998"/>
    <n v="0.27759717707204579"/>
  </r>
  <r>
    <x v="445"/>
    <x v="40"/>
    <x v="96"/>
    <x v="6"/>
    <x v="3"/>
    <x v="1"/>
    <n v="1"/>
    <n v="2999"/>
    <n v="0.05"/>
    <x v="3"/>
    <n v="2849.0499999999997"/>
    <n v="1800"/>
    <n v="1049.0499999999997"/>
    <n v="0.36821045611695119"/>
  </r>
  <r>
    <x v="446"/>
    <x v="94"/>
    <x v="15"/>
    <x v="5"/>
    <x v="2"/>
    <x v="2"/>
    <n v="1"/>
    <n v="399"/>
    <n v="0.15"/>
    <x v="4"/>
    <n v="339.15"/>
    <n v="180"/>
    <n v="159.14999999999998"/>
    <n v="0.46926138876603268"/>
  </r>
  <r>
    <x v="447"/>
    <x v="77"/>
    <x v="17"/>
    <x v="4"/>
    <x v="0"/>
    <x v="1"/>
    <n v="3"/>
    <n v="3499"/>
    <n v="0.2"/>
    <x v="0"/>
    <n v="8397.6"/>
    <n v="2300"/>
    <n v="1497.6000000000004"/>
    <n v="0.17833666761931985"/>
  </r>
  <r>
    <x v="448"/>
    <x v="261"/>
    <x v="7"/>
    <x v="0"/>
    <x v="0"/>
    <x v="1"/>
    <n v="1"/>
    <n v="1999"/>
    <n v="0"/>
    <x v="2"/>
    <n v="1999"/>
    <n v="1200"/>
    <n v="799"/>
    <n v="0.39969984992496249"/>
  </r>
  <r>
    <x v="449"/>
    <x v="62"/>
    <x v="109"/>
    <x v="7"/>
    <x v="1"/>
    <x v="2"/>
    <n v="2"/>
    <n v="799"/>
    <n v="0.1"/>
    <x v="2"/>
    <n v="1438.2"/>
    <n v="400"/>
    <n v="638.20000000000005"/>
    <n v="0.44374913085801698"/>
  </r>
  <r>
    <x v="450"/>
    <x v="229"/>
    <x v="47"/>
    <x v="8"/>
    <x v="3"/>
    <x v="1"/>
    <n v="2"/>
    <n v="1799"/>
    <n v="0"/>
    <x v="4"/>
    <n v="3598"/>
    <n v="1000"/>
    <n v="1598"/>
    <n v="0.4441356309060589"/>
  </r>
  <r>
    <x v="451"/>
    <x v="262"/>
    <x v="162"/>
    <x v="10"/>
    <x v="2"/>
    <x v="3"/>
    <n v="5"/>
    <n v="1299"/>
    <n v="0"/>
    <x v="2"/>
    <n v="6495"/>
    <n v="750"/>
    <n v="2745"/>
    <n v="0.42263279445727481"/>
  </r>
  <r>
    <x v="452"/>
    <x v="261"/>
    <x v="128"/>
    <x v="7"/>
    <x v="1"/>
    <x v="2"/>
    <n v="2"/>
    <n v="799"/>
    <n v="0"/>
    <x v="1"/>
    <n v="1598"/>
    <n v="400"/>
    <n v="798"/>
    <n v="0.49937421777221525"/>
  </r>
  <r>
    <x v="453"/>
    <x v="22"/>
    <x v="82"/>
    <x v="1"/>
    <x v="0"/>
    <x v="1"/>
    <n v="4"/>
    <n v="2499"/>
    <n v="0"/>
    <x v="4"/>
    <n v="9996"/>
    <n v="1600"/>
    <n v="3596"/>
    <n v="0.35974389755902358"/>
  </r>
  <r>
    <x v="454"/>
    <x v="190"/>
    <x v="54"/>
    <x v="9"/>
    <x v="1"/>
    <x v="0"/>
    <n v="1"/>
    <n v="1499"/>
    <n v="0"/>
    <x v="0"/>
    <n v="1499"/>
    <n v="800"/>
    <n v="699"/>
    <n v="0.46631087391594395"/>
  </r>
  <r>
    <x v="455"/>
    <x v="263"/>
    <x v="13"/>
    <x v="5"/>
    <x v="2"/>
    <x v="3"/>
    <n v="2"/>
    <n v="399"/>
    <n v="0.1"/>
    <x v="1"/>
    <n v="718.2"/>
    <n v="180"/>
    <n v="358.20000000000005"/>
    <n v="0.49874686716791983"/>
  </r>
  <r>
    <x v="456"/>
    <x v="264"/>
    <x v="22"/>
    <x v="9"/>
    <x v="1"/>
    <x v="1"/>
    <n v="3"/>
    <n v="1499"/>
    <n v="0"/>
    <x v="0"/>
    <n v="4497"/>
    <n v="800"/>
    <n v="2097"/>
    <n v="0.46631087391594395"/>
  </r>
  <r>
    <x v="457"/>
    <x v="265"/>
    <x v="72"/>
    <x v="3"/>
    <x v="2"/>
    <x v="1"/>
    <n v="2"/>
    <n v="599"/>
    <n v="0"/>
    <x v="2"/>
    <n v="1198"/>
    <n v="300"/>
    <n v="598"/>
    <n v="0.4991652754590985"/>
  </r>
  <r>
    <x v="458"/>
    <x v="255"/>
    <x v="162"/>
    <x v="5"/>
    <x v="2"/>
    <x v="0"/>
    <n v="1"/>
    <n v="399"/>
    <n v="0.15"/>
    <x v="4"/>
    <n v="339.15"/>
    <n v="180"/>
    <n v="159.14999999999998"/>
    <n v="0.46926138876603268"/>
  </r>
  <r>
    <x v="459"/>
    <x v="266"/>
    <x v="145"/>
    <x v="1"/>
    <x v="0"/>
    <x v="1"/>
    <n v="3"/>
    <n v="2499"/>
    <n v="0.1"/>
    <x v="1"/>
    <n v="6747.3"/>
    <n v="1600"/>
    <n v="1947.3000000000002"/>
    <n v="0.28860433062113738"/>
  </r>
  <r>
    <x v="460"/>
    <x v="37"/>
    <x v="33"/>
    <x v="0"/>
    <x v="0"/>
    <x v="1"/>
    <n v="3"/>
    <n v="1999"/>
    <n v="0"/>
    <x v="2"/>
    <n v="5997"/>
    <n v="1200"/>
    <n v="2397"/>
    <n v="0.39969984992496249"/>
  </r>
  <r>
    <x v="461"/>
    <x v="51"/>
    <x v="16"/>
    <x v="4"/>
    <x v="0"/>
    <x v="1"/>
    <n v="1"/>
    <n v="3499"/>
    <n v="0.2"/>
    <x v="3"/>
    <n v="2799.2000000000003"/>
    <n v="2300"/>
    <n v="499.20000000000027"/>
    <n v="0.17833666761931988"/>
  </r>
  <r>
    <x v="462"/>
    <x v="12"/>
    <x v="118"/>
    <x v="10"/>
    <x v="2"/>
    <x v="3"/>
    <n v="1"/>
    <n v="1299"/>
    <n v="0.05"/>
    <x v="4"/>
    <n v="1234.05"/>
    <n v="750"/>
    <n v="484.04999999999995"/>
    <n v="0.39224504679713135"/>
  </r>
  <r>
    <x v="463"/>
    <x v="238"/>
    <x v="28"/>
    <x v="5"/>
    <x v="2"/>
    <x v="1"/>
    <n v="1"/>
    <n v="399"/>
    <n v="0.1"/>
    <x v="1"/>
    <n v="359.1"/>
    <n v="180"/>
    <n v="179.10000000000002"/>
    <n v="0.49874686716791983"/>
  </r>
  <r>
    <x v="464"/>
    <x v="81"/>
    <x v="161"/>
    <x v="0"/>
    <x v="0"/>
    <x v="2"/>
    <n v="4"/>
    <n v="1999"/>
    <n v="0"/>
    <x v="4"/>
    <n v="7996"/>
    <n v="1200"/>
    <n v="3196"/>
    <n v="0.39969984992496249"/>
  </r>
  <r>
    <x v="465"/>
    <x v="83"/>
    <x v="83"/>
    <x v="1"/>
    <x v="0"/>
    <x v="0"/>
    <n v="2"/>
    <n v="2499"/>
    <n v="0"/>
    <x v="4"/>
    <n v="4998"/>
    <n v="1600"/>
    <n v="1798"/>
    <n v="0.35974389755902358"/>
  </r>
  <r>
    <x v="466"/>
    <x v="267"/>
    <x v="60"/>
    <x v="9"/>
    <x v="1"/>
    <x v="2"/>
    <n v="2"/>
    <n v="1499"/>
    <n v="0.05"/>
    <x v="1"/>
    <n v="2848.1"/>
    <n v="800"/>
    <n v="1248.0999999999999"/>
    <n v="0.43822197254309891"/>
  </r>
  <r>
    <x v="467"/>
    <x v="77"/>
    <x v="82"/>
    <x v="4"/>
    <x v="0"/>
    <x v="0"/>
    <n v="1"/>
    <n v="3499"/>
    <n v="0.05"/>
    <x v="3"/>
    <n v="3324.0499999999997"/>
    <n v="2300"/>
    <n v="1024.0499999999997"/>
    <n v="0.30807298325837451"/>
  </r>
  <r>
    <x v="468"/>
    <x v="232"/>
    <x v="128"/>
    <x v="9"/>
    <x v="1"/>
    <x v="1"/>
    <n v="3"/>
    <n v="1499"/>
    <n v="0.2"/>
    <x v="2"/>
    <n v="3597.6000000000004"/>
    <n v="800"/>
    <n v="1197.6000000000004"/>
    <n v="0.33288859239493002"/>
  </r>
  <r>
    <x v="469"/>
    <x v="202"/>
    <x v="129"/>
    <x v="10"/>
    <x v="2"/>
    <x v="2"/>
    <n v="2"/>
    <n v="1299"/>
    <n v="0"/>
    <x v="0"/>
    <n v="2598"/>
    <n v="750"/>
    <n v="1098"/>
    <n v="0.42263279445727481"/>
  </r>
  <r>
    <x v="470"/>
    <x v="241"/>
    <x v="4"/>
    <x v="1"/>
    <x v="0"/>
    <x v="2"/>
    <n v="1"/>
    <n v="2499"/>
    <n v="0"/>
    <x v="4"/>
    <n v="2499"/>
    <n v="1600"/>
    <n v="899"/>
    <n v="0.35974389755902358"/>
  </r>
  <r>
    <x v="471"/>
    <x v="268"/>
    <x v="120"/>
    <x v="2"/>
    <x v="1"/>
    <x v="2"/>
    <n v="1"/>
    <n v="3999"/>
    <n v="0"/>
    <x v="0"/>
    <n v="3999"/>
    <n v="2600"/>
    <n v="1399"/>
    <n v="0.34983745936484123"/>
  </r>
  <r>
    <x v="472"/>
    <x v="256"/>
    <x v="37"/>
    <x v="0"/>
    <x v="0"/>
    <x v="0"/>
    <n v="1"/>
    <n v="1999"/>
    <n v="0.2"/>
    <x v="4"/>
    <n v="1599.2"/>
    <n v="1200"/>
    <n v="399.20000000000005"/>
    <n v="0.24962481240620313"/>
  </r>
  <r>
    <x v="473"/>
    <x v="269"/>
    <x v="12"/>
    <x v="6"/>
    <x v="3"/>
    <x v="3"/>
    <n v="2"/>
    <n v="2999"/>
    <n v="0.1"/>
    <x v="2"/>
    <n v="5398.2"/>
    <n v="1800"/>
    <n v="1798.1999999999998"/>
    <n v="0.33311103701233741"/>
  </r>
  <r>
    <x v="474"/>
    <x v="270"/>
    <x v="112"/>
    <x v="1"/>
    <x v="0"/>
    <x v="1"/>
    <n v="4"/>
    <n v="2499"/>
    <n v="0"/>
    <x v="1"/>
    <n v="9996"/>
    <n v="1600"/>
    <n v="3596"/>
    <n v="0.35974389755902358"/>
  </r>
  <r>
    <x v="475"/>
    <x v="271"/>
    <x v="163"/>
    <x v="11"/>
    <x v="3"/>
    <x v="3"/>
    <n v="2"/>
    <n v="999"/>
    <n v="0.05"/>
    <x v="1"/>
    <n v="1898.1"/>
    <n v="550"/>
    <n v="798.09999999999991"/>
    <n v="0.42047310468363097"/>
  </r>
  <r>
    <x v="476"/>
    <x v="272"/>
    <x v="95"/>
    <x v="11"/>
    <x v="3"/>
    <x v="0"/>
    <n v="1"/>
    <n v="999"/>
    <n v="0"/>
    <x v="4"/>
    <n v="999"/>
    <n v="550"/>
    <n v="449"/>
    <n v="0.44944944944944942"/>
  </r>
  <r>
    <x v="477"/>
    <x v="205"/>
    <x v="34"/>
    <x v="2"/>
    <x v="1"/>
    <x v="3"/>
    <n v="1"/>
    <n v="3999"/>
    <n v="0.15"/>
    <x v="1"/>
    <n v="3399.15"/>
    <n v="2600"/>
    <n v="799.15000000000009"/>
    <n v="0.23510289337040144"/>
  </r>
  <r>
    <x v="478"/>
    <x v="118"/>
    <x v="14"/>
    <x v="5"/>
    <x v="2"/>
    <x v="3"/>
    <n v="1"/>
    <n v="399"/>
    <n v="0"/>
    <x v="4"/>
    <n v="399"/>
    <n v="180"/>
    <n v="219"/>
    <n v="0.54887218045112784"/>
  </r>
  <r>
    <x v="479"/>
    <x v="121"/>
    <x v="164"/>
    <x v="6"/>
    <x v="3"/>
    <x v="0"/>
    <n v="3"/>
    <n v="2999"/>
    <n v="0.05"/>
    <x v="0"/>
    <n v="8547.15"/>
    <n v="1800"/>
    <n v="3147.1499999999996"/>
    <n v="0.36821045611695125"/>
  </r>
  <r>
    <x v="480"/>
    <x v="32"/>
    <x v="129"/>
    <x v="4"/>
    <x v="0"/>
    <x v="0"/>
    <n v="1"/>
    <n v="3499"/>
    <n v="0"/>
    <x v="1"/>
    <n v="3499"/>
    <n v="2300"/>
    <n v="1199"/>
    <n v="0.34266933409545586"/>
  </r>
  <r>
    <x v="481"/>
    <x v="84"/>
    <x v="152"/>
    <x v="5"/>
    <x v="2"/>
    <x v="1"/>
    <n v="2"/>
    <n v="399"/>
    <n v="0.15"/>
    <x v="3"/>
    <n v="678.3"/>
    <n v="180"/>
    <n v="318.29999999999995"/>
    <n v="0.46926138876603268"/>
  </r>
  <r>
    <x v="482"/>
    <x v="261"/>
    <x v="56"/>
    <x v="1"/>
    <x v="0"/>
    <x v="2"/>
    <n v="1"/>
    <n v="2499"/>
    <n v="0"/>
    <x v="1"/>
    <n v="2499"/>
    <n v="1600"/>
    <n v="899"/>
    <n v="0.35974389755902358"/>
  </r>
  <r>
    <x v="483"/>
    <x v="273"/>
    <x v="130"/>
    <x v="1"/>
    <x v="0"/>
    <x v="0"/>
    <n v="1"/>
    <n v="2499"/>
    <n v="0.05"/>
    <x v="3"/>
    <n v="2374.0499999999997"/>
    <n v="1600"/>
    <n v="774.04999999999973"/>
    <n v="0.3260462079568669"/>
  </r>
  <r>
    <x v="484"/>
    <x v="194"/>
    <x v="125"/>
    <x v="11"/>
    <x v="3"/>
    <x v="0"/>
    <n v="1"/>
    <n v="999"/>
    <n v="0.1"/>
    <x v="4"/>
    <n v="899.1"/>
    <n v="550"/>
    <n v="349.1"/>
    <n v="0.38827716605494383"/>
  </r>
  <r>
    <x v="485"/>
    <x v="258"/>
    <x v="147"/>
    <x v="3"/>
    <x v="2"/>
    <x v="1"/>
    <n v="1"/>
    <n v="599"/>
    <n v="0.15"/>
    <x v="3"/>
    <n v="509.15"/>
    <n v="300"/>
    <n v="209.14999999999998"/>
    <n v="0.41078267701070409"/>
  </r>
  <r>
    <x v="486"/>
    <x v="239"/>
    <x v="165"/>
    <x v="10"/>
    <x v="2"/>
    <x v="2"/>
    <n v="2"/>
    <n v="1299"/>
    <n v="0.05"/>
    <x v="0"/>
    <n v="2468.1"/>
    <n v="750"/>
    <n v="968.09999999999991"/>
    <n v="0.39224504679713135"/>
  </r>
  <r>
    <x v="487"/>
    <x v="259"/>
    <x v="4"/>
    <x v="6"/>
    <x v="3"/>
    <x v="0"/>
    <n v="1"/>
    <n v="2999"/>
    <n v="0"/>
    <x v="3"/>
    <n v="2999"/>
    <n v="1800"/>
    <n v="1199"/>
    <n v="0.39979993331110369"/>
  </r>
  <r>
    <x v="488"/>
    <x v="274"/>
    <x v="8"/>
    <x v="9"/>
    <x v="1"/>
    <x v="2"/>
    <n v="1"/>
    <n v="1499"/>
    <n v="0.05"/>
    <x v="4"/>
    <n v="1424.05"/>
    <n v="800"/>
    <n v="624.04999999999995"/>
    <n v="0.43822197254309891"/>
  </r>
  <r>
    <x v="489"/>
    <x v="275"/>
    <x v="133"/>
    <x v="5"/>
    <x v="2"/>
    <x v="3"/>
    <n v="1"/>
    <n v="399"/>
    <n v="0"/>
    <x v="3"/>
    <n v="399"/>
    <n v="180"/>
    <n v="219"/>
    <n v="0.54887218045112784"/>
  </r>
  <r>
    <x v="490"/>
    <x v="26"/>
    <x v="164"/>
    <x v="3"/>
    <x v="2"/>
    <x v="3"/>
    <n v="1"/>
    <n v="599"/>
    <n v="0.2"/>
    <x v="3"/>
    <n v="479.20000000000005"/>
    <n v="300"/>
    <n v="179.20000000000005"/>
    <n v="0.37395659432387318"/>
  </r>
  <r>
    <x v="491"/>
    <x v="2"/>
    <x v="52"/>
    <x v="1"/>
    <x v="0"/>
    <x v="1"/>
    <n v="1"/>
    <n v="2499"/>
    <n v="0"/>
    <x v="1"/>
    <n v="2499"/>
    <n v="1600"/>
    <n v="899"/>
    <n v="0.35974389755902358"/>
  </r>
  <r>
    <x v="492"/>
    <x v="276"/>
    <x v="67"/>
    <x v="5"/>
    <x v="2"/>
    <x v="0"/>
    <n v="4"/>
    <n v="399"/>
    <n v="0.2"/>
    <x v="1"/>
    <n v="1276.8000000000002"/>
    <n v="180"/>
    <n v="556.80000000000018"/>
    <n v="0.43609022556390986"/>
  </r>
  <r>
    <x v="493"/>
    <x v="250"/>
    <x v="81"/>
    <x v="5"/>
    <x v="2"/>
    <x v="1"/>
    <n v="3"/>
    <n v="399"/>
    <n v="0.1"/>
    <x v="4"/>
    <n v="1077.3"/>
    <n v="180"/>
    <n v="537.29999999999995"/>
    <n v="0.49874686716791977"/>
  </r>
  <r>
    <x v="494"/>
    <x v="277"/>
    <x v="166"/>
    <x v="4"/>
    <x v="0"/>
    <x v="2"/>
    <n v="2"/>
    <n v="3499"/>
    <n v="0"/>
    <x v="3"/>
    <n v="6998"/>
    <n v="2300"/>
    <n v="2398"/>
    <n v="0.34266933409545586"/>
  </r>
  <r>
    <x v="495"/>
    <x v="159"/>
    <x v="146"/>
    <x v="11"/>
    <x v="3"/>
    <x v="0"/>
    <n v="1"/>
    <n v="999"/>
    <n v="0"/>
    <x v="0"/>
    <n v="999"/>
    <n v="550"/>
    <n v="449"/>
    <n v="0.44944944944944942"/>
  </r>
  <r>
    <x v="496"/>
    <x v="193"/>
    <x v="88"/>
    <x v="0"/>
    <x v="0"/>
    <x v="0"/>
    <n v="1"/>
    <n v="1999"/>
    <n v="0.1"/>
    <x v="4"/>
    <n v="1799.1000000000001"/>
    <n v="1200"/>
    <n v="599.10000000000014"/>
    <n v="0.33299983324995835"/>
  </r>
  <r>
    <x v="497"/>
    <x v="53"/>
    <x v="139"/>
    <x v="0"/>
    <x v="0"/>
    <x v="0"/>
    <n v="1"/>
    <n v="1999"/>
    <n v="0.05"/>
    <x v="0"/>
    <n v="1899.05"/>
    <n v="1200"/>
    <n v="699.05"/>
    <n v="0.368105105184171"/>
  </r>
  <r>
    <x v="498"/>
    <x v="193"/>
    <x v="111"/>
    <x v="1"/>
    <x v="0"/>
    <x v="2"/>
    <n v="1"/>
    <n v="2499"/>
    <n v="0.15"/>
    <x v="3"/>
    <n v="2124.15"/>
    <n v="1600"/>
    <n v="524.15000000000009"/>
    <n v="0.24675752654002781"/>
  </r>
  <r>
    <x v="499"/>
    <x v="8"/>
    <x v="70"/>
    <x v="3"/>
    <x v="2"/>
    <x v="2"/>
    <n v="1"/>
    <n v="599"/>
    <n v="0.2"/>
    <x v="2"/>
    <n v="479.20000000000005"/>
    <n v="300"/>
    <n v="179.20000000000005"/>
    <n v="0.373956594323873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13650-5219-4FD0-8812-2C7C6D732F5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16" firstHeaderRow="0"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3">
        <item x="1"/>
        <item x="11"/>
        <item x="2"/>
        <item x="9"/>
        <item x="8"/>
        <item x="10"/>
        <item x="3"/>
        <item x="6"/>
        <item x="4"/>
        <item x="5"/>
        <item x="7"/>
        <item x="0"/>
        <item t="default"/>
      </items>
      <autoSortScope>
        <pivotArea dataOnly="0" outline="0" fieldPosition="0">
          <references count="1">
            <reference field="4294967294" count="1" selected="0">
              <x v="1"/>
            </reference>
          </references>
        </pivotArea>
      </autoSortScope>
    </pivotField>
    <pivotField showAll="0">
      <items count="5">
        <item x="2"/>
        <item x="0"/>
        <item x="3"/>
        <item x="1"/>
        <item t="default"/>
      </items>
    </pivotField>
    <pivotField showAll="0">
      <items count="5">
        <item x="3"/>
        <item x="1"/>
        <item x="0"/>
        <item x="2"/>
        <item t="default"/>
      </items>
    </pivotField>
    <pivotField showAll="0"/>
    <pivotField numFmtId="165" showAll="0"/>
    <pivotField numFmtId="9" showAll="0"/>
    <pivotField showAll="0">
      <items count="6">
        <item x="2"/>
        <item x="1"/>
        <item x="4"/>
        <item x="3"/>
        <item x="0"/>
        <item t="default"/>
      </items>
    </pivotField>
    <pivotField dataField="1"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3"/>
  </rowFields>
  <rowItems count="13">
    <i>
      <x v="7"/>
    </i>
    <i>
      <x v="2"/>
    </i>
    <i>
      <x/>
    </i>
    <i>
      <x v="8"/>
    </i>
    <i>
      <x v="3"/>
    </i>
    <i>
      <x v="4"/>
    </i>
    <i>
      <x v="11"/>
    </i>
    <i>
      <x v="5"/>
    </i>
    <i>
      <x v="10"/>
    </i>
    <i>
      <x v="1"/>
    </i>
    <i>
      <x v="6"/>
    </i>
    <i>
      <x v="9"/>
    </i>
    <i t="grand">
      <x/>
    </i>
  </rowItems>
  <colFields count="1">
    <field x="-2"/>
  </colFields>
  <colItems count="2">
    <i>
      <x/>
    </i>
    <i i="1">
      <x v="1"/>
    </i>
  </colItems>
  <dataFields count="2">
    <dataField name="Sum of revenue" fld="10" baseField="0" baseItem="0"/>
    <dataField name="Sum of profit" fld="1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0D04C-3572-4AAB-8258-3C7F184999A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3">
        <item x="1"/>
        <item x="11"/>
        <item x="2"/>
        <item x="9"/>
        <item x="8"/>
        <item x="10"/>
        <item x="3"/>
        <item x="6"/>
        <item x="4"/>
        <item x="5"/>
        <item x="7"/>
        <item x="0"/>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items count="5">
        <item x="3"/>
        <item x="1"/>
        <item x="0"/>
        <item x="2"/>
        <item t="default"/>
      </items>
    </pivotField>
    <pivotField showAll="0"/>
    <pivotField numFmtId="165" showAll="0"/>
    <pivotField numFmtId="9" showAll="0"/>
    <pivotField showAll="0">
      <items count="6">
        <item x="2"/>
        <item x="1"/>
        <item x="4"/>
        <item x="3"/>
        <item x="0"/>
        <item t="default"/>
      </items>
    </pivotField>
    <pivotField showAll="0"/>
    <pivotField showAll="0"/>
    <pivotField showAll="0"/>
    <pivotField dataField="1" numFmtId="9" showAll="0"/>
    <pivotField showAll="0">
      <items count="15">
        <item x="0"/>
        <item x="1"/>
        <item x="2"/>
        <item x="3"/>
        <item x="4"/>
        <item x="5"/>
        <item x="6"/>
        <item x="7"/>
        <item x="8"/>
        <item x="9"/>
        <item x="10"/>
        <item x="11"/>
        <item x="12"/>
        <item x="13"/>
        <item t="default"/>
      </items>
    </pivotField>
  </pivotFields>
  <rowFields count="1">
    <field x="3"/>
  </rowFields>
  <rowItems count="13">
    <i>
      <x v="9"/>
    </i>
    <i>
      <x v="10"/>
    </i>
    <i>
      <x v="6"/>
    </i>
    <i>
      <x v="3"/>
    </i>
    <i>
      <x v="1"/>
    </i>
    <i>
      <x v="4"/>
    </i>
    <i>
      <x v="5"/>
    </i>
    <i>
      <x v="7"/>
    </i>
    <i>
      <x v="11"/>
    </i>
    <i>
      <x/>
    </i>
    <i>
      <x v="2"/>
    </i>
    <i>
      <x v="8"/>
    </i>
    <i t="grand">
      <x/>
    </i>
  </rowItems>
  <colItems count="1">
    <i/>
  </colItems>
  <dataFields count="1">
    <dataField name="Average of profit margin" fld="13" subtotal="average" baseField="3" baseItem="0" numFmtId="9"/>
  </dataFields>
  <formats count="4">
    <format dxfId="18">
      <pivotArea collapsedLevelsAreSubtotals="1" fieldPosition="0">
        <references count="1">
          <reference field="3" count="1">
            <x v="0"/>
          </reference>
        </references>
      </pivotArea>
    </format>
    <format dxfId="17">
      <pivotArea dataOnly="0" outline="0" axis="axisValues" fieldPosition="0"/>
    </format>
    <format dxfId="16">
      <pivotArea collapsedLevelsAreSubtotals="1" fieldPosition="0">
        <references count="1">
          <reference field="3" count="11">
            <x v="1"/>
            <x v="2"/>
            <x v="3"/>
            <x v="4"/>
            <x v="5"/>
            <x v="6"/>
            <x v="7"/>
            <x v="8"/>
            <x v="9"/>
            <x v="10"/>
            <x v="11"/>
          </reference>
        </references>
      </pivotArea>
    </format>
    <format dxfId="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5D7ED-A3A6-4E63-B70B-961AFB4BEF3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8" firstHeaderRow="0" firstDataRow="1" firstDataCol="1"/>
  <pivotFields count="15">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3">
        <item x="1"/>
        <item x="11"/>
        <item x="2"/>
        <item x="9"/>
        <item x="8"/>
        <item x="10"/>
        <item x="3"/>
        <item x="6"/>
        <item x="4"/>
        <item x="5"/>
        <item x="7"/>
        <item x="0"/>
        <item t="default"/>
      </items>
    </pivotField>
    <pivotField showAll="0">
      <items count="5">
        <item x="2"/>
        <item x="0"/>
        <item x="3"/>
        <item x="1"/>
        <item t="default"/>
      </items>
    </pivotField>
    <pivotField axis="axisRow" showAll="0" sortType="descending">
      <items count="5">
        <item x="3"/>
        <item x="1"/>
        <item x="0"/>
        <item x="2"/>
        <item t="default"/>
      </items>
      <autoSortScope>
        <pivotArea dataOnly="0" outline="0" fieldPosition="0">
          <references count="1">
            <reference field="4294967294" count="1" selected="0">
              <x v="1"/>
            </reference>
          </references>
        </pivotArea>
      </autoSortScope>
    </pivotField>
    <pivotField showAll="0"/>
    <pivotField numFmtId="165" showAll="0"/>
    <pivotField numFmtId="9" showAll="0"/>
    <pivotField showAll="0">
      <items count="6">
        <item x="2"/>
        <item x="1"/>
        <item x="4"/>
        <item x="3"/>
        <item x="0"/>
        <item t="default"/>
      </items>
    </pivotField>
    <pivotField dataField="1"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5"/>
  </rowFields>
  <rowItems count="5">
    <i>
      <x v="1"/>
    </i>
    <i>
      <x v="2"/>
    </i>
    <i>
      <x v="3"/>
    </i>
    <i>
      <x/>
    </i>
    <i t="grand">
      <x/>
    </i>
  </rowItems>
  <colFields count="1">
    <field x="-2"/>
  </colFields>
  <colItems count="2">
    <i>
      <x/>
    </i>
    <i i="1">
      <x v="1"/>
    </i>
  </colItems>
  <dataFields count="2">
    <dataField name="Sum of revenue" fld="10" baseField="0" baseItem="0"/>
    <dataField name="Sum of profit" fld="1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D6C825-C13C-46AD-9BDA-ED4B8A9CC7F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9" firstHeaderRow="0" firstDataRow="1" firstDataCol="1"/>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0"/>
        <item x="3"/>
        <item x="1"/>
        <item t="default"/>
      </items>
    </pivotField>
    <pivotField showAll="0">
      <items count="5">
        <item x="3"/>
        <item x="1"/>
        <item x="0"/>
        <item x="2"/>
        <item t="default"/>
      </items>
    </pivotField>
    <pivotField showAll="0"/>
    <pivotField numFmtId="165" showAll="0"/>
    <pivotField numFmtId="9" showAll="0"/>
    <pivotField axis="axisRow" showAll="0" sortType="descending">
      <items count="6">
        <item x="2"/>
        <item x="1"/>
        <item x="4"/>
        <item x="3"/>
        <item x="0"/>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numFmtId="9" showAll="0"/>
    <pivotField showAll="0">
      <items count="15">
        <item x="0"/>
        <item x="1"/>
        <item x="2"/>
        <item x="3"/>
        <item x="4"/>
        <item x="5"/>
        <item x="6"/>
        <item x="7"/>
        <item x="8"/>
        <item x="9"/>
        <item x="10"/>
        <item x="11"/>
        <item x="12"/>
        <item x="13"/>
        <item t="default"/>
      </items>
    </pivotField>
  </pivotFields>
  <rowFields count="1">
    <field x="9"/>
  </rowFields>
  <rowItems count="6">
    <i>
      <x v="4"/>
    </i>
    <i>
      <x v="3"/>
    </i>
    <i>
      <x/>
    </i>
    <i>
      <x v="2"/>
    </i>
    <i>
      <x v="1"/>
    </i>
    <i t="grand">
      <x/>
    </i>
  </rowItems>
  <colFields count="1">
    <field x="-2"/>
  </colFields>
  <colItems count="2">
    <i>
      <x/>
    </i>
    <i i="1">
      <x v="1"/>
    </i>
  </colItems>
  <dataFields count="2">
    <dataField name="Count of Order ID" fld="0" subtotal="count" baseField="0" baseItem="0"/>
    <dataField name="Sum of revenue" fld="10" baseField="0" baseItem="0"/>
  </dataFields>
  <chartFormats count="1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9" count="1" selected="0">
            <x v="4"/>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0"/>
          </reference>
        </references>
      </pivotArea>
    </chartFormat>
    <chartFormat chart="3" format="18">
      <pivotArea type="data" outline="0" fieldPosition="0">
        <references count="2">
          <reference field="4294967294" count="1" selected="0">
            <x v="0"/>
          </reference>
          <reference field="9" count="1" selected="0">
            <x v="2"/>
          </reference>
        </references>
      </pivotArea>
    </chartFormat>
    <chartFormat chart="3" format="19">
      <pivotArea type="data" outline="0" fieldPosition="0">
        <references count="2">
          <reference field="4294967294" count="1" selected="0">
            <x v="0"/>
          </reference>
          <reference field="9" count="1" selected="0">
            <x v="1"/>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9" count="1" selected="0">
            <x v="4"/>
          </reference>
        </references>
      </pivotArea>
    </chartFormat>
    <chartFormat chart="3" format="22">
      <pivotArea type="data" outline="0" fieldPosition="0">
        <references count="2">
          <reference field="4294967294" count="1" selected="0">
            <x v="1"/>
          </reference>
          <reference field="9" count="1" selected="0">
            <x v="3"/>
          </reference>
        </references>
      </pivotArea>
    </chartFormat>
    <chartFormat chart="3" format="23">
      <pivotArea type="data" outline="0" fieldPosition="0">
        <references count="2">
          <reference field="4294967294" count="1" selected="0">
            <x v="1"/>
          </reference>
          <reference field="9" count="1" selected="0">
            <x v="0"/>
          </reference>
        </references>
      </pivotArea>
    </chartFormat>
    <chartFormat chart="3" format="24">
      <pivotArea type="data" outline="0" fieldPosition="0">
        <references count="2">
          <reference field="4294967294" count="1" selected="0">
            <x v="1"/>
          </reference>
          <reference field="9" count="1" selected="0">
            <x v="2"/>
          </reference>
        </references>
      </pivotArea>
    </chartFormat>
    <chartFormat chart="3" format="25">
      <pivotArea type="data" outline="0" fieldPosition="0">
        <references count="2">
          <reference field="4294967294"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B82B98-E6BE-4195-93D3-D5F39BA2869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E8" firstHeaderRow="0" firstDataRow="1" firstDataCol="1"/>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5">
        <item x="2"/>
        <item x="0"/>
        <item x="3"/>
        <item x="1"/>
        <item t="default"/>
      </items>
      <autoSortScope>
        <pivotArea dataOnly="0" outline="0" fieldPosition="0">
          <references count="1">
            <reference field="4294967294" count="1" selected="0">
              <x v="2"/>
            </reference>
          </references>
        </pivotArea>
      </autoSortScope>
    </pivotField>
    <pivotField showAll="0">
      <items count="5">
        <item x="3"/>
        <item x="1"/>
        <item x="0"/>
        <item x="2"/>
        <item t="default"/>
      </items>
    </pivotField>
    <pivotField showAll="0"/>
    <pivotField numFmtId="165" showAll="0"/>
    <pivotField numFmtId="9" showAll="0"/>
    <pivotField showAll="0">
      <items count="6">
        <item x="2"/>
        <item x="1"/>
        <item x="4"/>
        <item x="3"/>
        <item x="0"/>
        <item t="default"/>
      </items>
    </pivotField>
    <pivotField dataField="1" showAll="0"/>
    <pivotField showAll="0"/>
    <pivotField dataField="1" showAll="0"/>
    <pivotField dataField="1" numFmtId="9" showAll="0"/>
    <pivotField showAll="0">
      <items count="15">
        <item x="0"/>
        <item x="1"/>
        <item x="2"/>
        <item x="3"/>
        <item x="4"/>
        <item x="5"/>
        <item x="6"/>
        <item x="7"/>
        <item x="8"/>
        <item x="9"/>
        <item x="10"/>
        <item x="11"/>
        <item x="12"/>
        <item x="13"/>
        <item t="default"/>
      </items>
    </pivotField>
  </pivotFields>
  <rowFields count="1">
    <field x="4"/>
  </rowFields>
  <rowItems count="5">
    <i>
      <x v="1"/>
    </i>
    <i>
      <x v="3"/>
    </i>
    <i>
      <x v="2"/>
    </i>
    <i>
      <x/>
    </i>
    <i t="grand">
      <x/>
    </i>
  </rowItems>
  <colFields count="1">
    <field x="-2"/>
  </colFields>
  <colItems count="4">
    <i>
      <x/>
    </i>
    <i i="1">
      <x v="1"/>
    </i>
    <i i="2">
      <x v="2"/>
    </i>
    <i i="3">
      <x v="3"/>
    </i>
  </colItems>
  <dataFields count="4">
    <dataField name="Sum of revenue" fld="10" baseField="0" baseItem="0"/>
    <dataField name="Count of Order ID" fld="0" subtotal="count" baseField="0" baseItem="0"/>
    <dataField name="Sum of profit" fld="12" baseField="0" baseItem="0"/>
    <dataField name="Average of profit margin" fld="13" subtotal="average" baseField="4" baseItem="1" numFmtId="9"/>
  </dataFields>
  <formats count="1">
    <format dxfId="14">
      <pivotArea outline="0" collapsedLevelsAreSubtotals="1" fieldPosition="0">
        <references count="1">
          <reference field="4294967294" count="1" selected="0">
            <x v="3"/>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2"/>
          </reference>
        </references>
      </pivotArea>
    </chartFormat>
    <chartFormat chart="3" format="510" series="1">
      <pivotArea type="data" outline="0" fieldPosition="0">
        <references count="1">
          <reference field="4294967294" count="1" selected="0">
            <x v="1"/>
          </reference>
        </references>
      </pivotArea>
    </chartFormat>
    <chartFormat chart="3" format="5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C92947-939E-41A1-A83B-E3F04CC36C4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16" firstHeaderRow="0" firstDataRow="1" firstDataCol="1"/>
  <pivotFields count="15">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0"/>
        <item x="3"/>
        <item x="1"/>
        <item t="default"/>
      </items>
    </pivotField>
    <pivotField showAll="0">
      <items count="5">
        <item x="3"/>
        <item x="1"/>
        <item x="0"/>
        <item x="2"/>
        <item t="default"/>
      </items>
    </pivotField>
    <pivotField showAll="0"/>
    <pivotField numFmtId="165" showAll="0"/>
    <pivotField numFmtId="9" showAll="0"/>
    <pivotField showAll="0">
      <items count="6">
        <item x="2"/>
        <item x="1"/>
        <item x="4"/>
        <item x="3"/>
        <item x="0"/>
        <item t="default"/>
      </items>
    </pivotField>
    <pivotField dataField="1" showAll="0"/>
    <pivotField showAll="0"/>
    <pivotField dataField="1" showAll="0"/>
    <pivotField numFmtId="9" showAll="0"/>
    <pivotField axis="axisRow" showAll="0" sortType="descending">
      <items count="15">
        <item sd="0" x="0"/>
        <item sd="0" x="1"/>
        <item sd="0" x="2"/>
        <item sd="0" x="3"/>
        <item sd="0" x="4"/>
        <item sd="0" x="5"/>
        <item sd="0" x="6"/>
        <item sd="0" x="7"/>
        <item sd="0" x="8"/>
        <item sd="0" x="9"/>
        <item sd="0" x="10"/>
        <item sd="0" x="11"/>
        <item sd="0" x="12"/>
        <item sd="0" x="13"/>
        <item t="default" sd="0"/>
      </items>
      <autoSortScope>
        <pivotArea dataOnly="0" outline="0" fieldPosition="0">
          <references count="1">
            <reference field="4294967294" count="1" selected="0">
              <x v="1"/>
            </reference>
          </references>
        </pivotArea>
      </autoSortScope>
    </pivotField>
  </pivotFields>
  <rowFields count="2">
    <field x="14"/>
    <field x="1"/>
  </rowFields>
  <rowItems count="13">
    <i>
      <x v="1"/>
    </i>
    <i>
      <x v="10"/>
    </i>
    <i>
      <x v="5"/>
    </i>
    <i>
      <x v="3"/>
    </i>
    <i>
      <x v="8"/>
    </i>
    <i>
      <x v="9"/>
    </i>
    <i>
      <x v="11"/>
    </i>
    <i>
      <x v="4"/>
    </i>
    <i>
      <x v="6"/>
    </i>
    <i>
      <x v="7"/>
    </i>
    <i>
      <x v="2"/>
    </i>
    <i>
      <x v="12"/>
    </i>
    <i t="grand">
      <x/>
    </i>
  </rowItems>
  <colFields count="1">
    <field x="-2"/>
  </colFields>
  <colItems count="2">
    <i>
      <x/>
    </i>
    <i i="1">
      <x v="1"/>
    </i>
  </colItems>
  <dataFields count="2">
    <dataField name="Sum of revenue" fld="10" baseField="0" baseItem="0"/>
    <dataField name="Sum of profit" fld="1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4A1E46-5CC5-4E23-BF51-760C25E6687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71" firstHeaderRow="0" firstDataRow="1" firstDataCol="1"/>
  <pivotFields count="15">
    <pivotField showAll="0"/>
    <pivotField numFmtId="164" showAll="0"/>
    <pivotField axis="axisRow" showAll="0" sortType="descending">
      <items count="168">
        <item x="33"/>
        <item x="26"/>
        <item x="40"/>
        <item x="153"/>
        <item x="85"/>
        <item x="75"/>
        <item x="164"/>
        <item x="151"/>
        <item x="49"/>
        <item x="135"/>
        <item x="35"/>
        <item x="87"/>
        <item x="150"/>
        <item x="121"/>
        <item x="159"/>
        <item x="7"/>
        <item x="27"/>
        <item x="78"/>
        <item x="36"/>
        <item x="120"/>
        <item x="155"/>
        <item x="46"/>
        <item x="5"/>
        <item x="156"/>
        <item x="129"/>
        <item x="77"/>
        <item x="0"/>
        <item x="44"/>
        <item x="90"/>
        <item x="6"/>
        <item x="22"/>
        <item x="116"/>
        <item x="101"/>
        <item x="113"/>
        <item x="108"/>
        <item x="127"/>
        <item x="52"/>
        <item x="19"/>
        <item x="163"/>
        <item x="10"/>
        <item x="146"/>
        <item x="80"/>
        <item x="137"/>
        <item x="147"/>
        <item x="58"/>
        <item x="30"/>
        <item x="141"/>
        <item x="138"/>
        <item x="9"/>
        <item x="41"/>
        <item x="124"/>
        <item x="64"/>
        <item x="25"/>
        <item x="154"/>
        <item x="112"/>
        <item x="114"/>
        <item x="21"/>
        <item x="82"/>
        <item x="14"/>
        <item x="73"/>
        <item x="145"/>
        <item x="56"/>
        <item x="39"/>
        <item x="102"/>
        <item x="123"/>
        <item x="115"/>
        <item x="4"/>
        <item x="42"/>
        <item x="109"/>
        <item x="126"/>
        <item x="18"/>
        <item x="144"/>
        <item x="60"/>
        <item x="95"/>
        <item x="59"/>
        <item x="12"/>
        <item x="134"/>
        <item x="139"/>
        <item x="83"/>
        <item x="130"/>
        <item x="97"/>
        <item x="70"/>
        <item x="45"/>
        <item x="136"/>
        <item x="122"/>
        <item x="68"/>
        <item x="117"/>
        <item x="15"/>
        <item x="111"/>
        <item x="48"/>
        <item x="107"/>
        <item x="131"/>
        <item x="8"/>
        <item x="16"/>
        <item x="67"/>
        <item x="157"/>
        <item x="125"/>
        <item x="152"/>
        <item x="148"/>
        <item x="50"/>
        <item x="51"/>
        <item x="66"/>
        <item x="118"/>
        <item x="160"/>
        <item x="72"/>
        <item x="57"/>
        <item x="65"/>
        <item x="132"/>
        <item x="91"/>
        <item x="149"/>
        <item x="53"/>
        <item x="76"/>
        <item x="100"/>
        <item x="62"/>
        <item x="88"/>
        <item x="86"/>
        <item x="32"/>
        <item x="20"/>
        <item x="96"/>
        <item x="13"/>
        <item x="133"/>
        <item x="2"/>
        <item x="162"/>
        <item x="143"/>
        <item x="161"/>
        <item x="104"/>
        <item x="43"/>
        <item x="105"/>
        <item x="103"/>
        <item x="31"/>
        <item x="1"/>
        <item x="99"/>
        <item x="166"/>
        <item x="37"/>
        <item x="28"/>
        <item x="61"/>
        <item x="38"/>
        <item x="3"/>
        <item x="81"/>
        <item x="84"/>
        <item x="79"/>
        <item x="69"/>
        <item x="23"/>
        <item x="142"/>
        <item x="165"/>
        <item x="92"/>
        <item x="71"/>
        <item x="98"/>
        <item x="158"/>
        <item x="128"/>
        <item x="47"/>
        <item x="55"/>
        <item x="94"/>
        <item x="74"/>
        <item x="29"/>
        <item x="54"/>
        <item x="93"/>
        <item x="119"/>
        <item x="24"/>
        <item x="63"/>
        <item x="110"/>
        <item x="17"/>
        <item x="89"/>
        <item x="11"/>
        <item x="106"/>
        <item x="34"/>
        <item x="140"/>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3"/>
        <item x="1"/>
        <item x="0"/>
        <item x="2"/>
        <item t="default"/>
      </items>
    </pivotField>
    <pivotField showAll="0"/>
    <pivotField numFmtId="165" showAll="0"/>
    <pivotField numFmtId="9" showAll="0"/>
    <pivotField showAll="0">
      <items count="6">
        <item x="2"/>
        <item x="1"/>
        <item x="4"/>
        <item x="3"/>
        <item x="0"/>
        <item t="default"/>
      </items>
    </pivotField>
    <pivotField dataField="1" showAll="0"/>
    <pivotField showAll="0"/>
    <pivotField dataField="1" showAll="0"/>
    <pivotField numFmtId="9" showAll="0"/>
    <pivotField showAll="0" defaultSubtotal="0"/>
  </pivotFields>
  <rowFields count="1">
    <field x="2"/>
  </rowFields>
  <rowItems count="168">
    <i>
      <x v="152"/>
    </i>
    <i>
      <x v="121"/>
    </i>
    <i>
      <x v="126"/>
    </i>
    <i>
      <x v="165"/>
    </i>
    <i>
      <x v="100"/>
    </i>
    <i>
      <x v="75"/>
    </i>
    <i>
      <x v="94"/>
    </i>
    <i>
      <x v="78"/>
    </i>
    <i>
      <x v="31"/>
    </i>
    <i>
      <x v="160"/>
    </i>
    <i>
      <x v="26"/>
    </i>
    <i>
      <x v="104"/>
    </i>
    <i>
      <x v="113"/>
    </i>
    <i>
      <x v="56"/>
    </i>
    <i>
      <x v="139"/>
    </i>
    <i>
      <x v="67"/>
    </i>
    <i>
      <x v="68"/>
    </i>
    <i>
      <x v="30"/>
    </i>
    <i>
      <x v="92"/>
    </i>
    <i>
      <x v="57"/>
    </i>
    <i>
      <x v="61"/>
    </i>
    <i>
      <x v="87"/>
    </i>
    <i>
      <x v="63"/>
    </i>
    <i>
      <x v="18"/>
    </i>
    <i>
      <x v="13"/>
    </i>
    <i>
      <x v="114"/>
    </i>
    <i>
      <x v="119"/>
    </i>
    <i>
      <x v="33"/>
    </i>
    <i>
      <x v="45"/>
    </i>
    <i>
      <x v="118"/>
    </i>
    <i>
      <x v="142"/>
    </i>
    <i>
      <x v="146"/>
    </i>
    <i>
      <x v="124"/>
    </i>
    <i>
      <x v="134"/>
    </i>
    <i>
      <x v="15"/>
    </i>
    <i>
      <x v="88"/>
    </i>
    <i>
      <x v="102"/>
    </i>
    <i>
      <x v="65"/>
    </i>
    <i>
      <x v="93"/>
    </i>
    <i>
      <x v="107"/>
    </i>
    <i>
      <x v="85"/>
    </i>
    <i>
      <x v="150"/>
    </i>
    <i>
      <x v="153"/>
    </i>
    <i>
      <x v="51"/>
    </i>
    <i>
      <x v="54"/>
    </i>
    <i>
      <x v="40"/>
    </i>
    <i>
      <x v="96"/>
    </i>
    <i>
      <x v="106"/>
    </i>
    <i>
      <x v="108"/>
    </i>
    <i>
      <x v="24"/>
    </i>
    <i>
      <x v="133"/>
    </i>
    <i>
      <x/>
    </i>
    <i>
      <x v="129"/>
    </i>
    <i>
      <x v="66"/>
    </i>
    <i>
      <x v="27"/>
    </i>
    <i>
      <x v="1"/>
    </i>
    <i>
      <x v="164"/>
    </i>
    <i>
      <x v="162"/>
    </i>
    <i>
      <x v="70"/>
    </i>
    <i>
      <x v="127"/>
    </i>
    <i>
      <x v="99"/>
    </i>
    <i>
      <x v="19"/>
    </i>
    <i>
      <x v="34"/>
    </i>
    <i>
      <x v="105"/>
    </i>
    <i>
      <x v="23"/>
    </i>
    <i>
      <x v="112"/>
    </i>
    <i>
      <x v="81"/>
    </i>
    <i>
      <x v="157"/>
    </i>
    <i>
      <x v="155"/>
    </i>
    <i>
      <x v="69"/>
    </i>
    <i>
      <x v="17"/>
    </i>
    <i>
      <x v="140"/>
    </i>
    <i>
      <x v="58"/>
    </i>
    <i>
      <x v="60"/>
    </i>
    <i>
      <x v="161"/>
    </i>
    <i>
      <x v="4"/>
    </i>
    <i>
      <x v="37"/>
    </i>
    <i>
      <x v="8"/>
    </i>
    <i>
      <x v="6"/>
    </i>
    <i>
      <x v="149"/>
    </i>
    <i>
      <x v="77"/>
    </i>
    <i>
      <x v="39"/>
    </i>
    <i>
      <x v="72"/>
    </i>
    <i>
      <x v="16"/>
    </i>
    <i>
      <x v="73"/>
    </i>
    <i>
      <x v="135"/>
    </i>
    <i>
      <x v="130"/>
    </i>
    <i>
      <x v="89"/>
    </i>
    <i>
      <x v="79"/>
    </i>
    <i>
      <x v="151"/>
    </i>
    <i>
      <x v="10"/>
    </i>
    <i>
      <x v="52"/>
    </i>
    <i>
      <x v="110"/>
    </i>
    <i>
      <x v="46"/>
    </i>
    <i>
      <x v="98"/>
    </i>
    <i>
      <x v="158"/>
    </i>
    <i>
      <x v="136"/>
    </i>
    <i>
      <x v="137"/>
    </i>
    <i>
      <x v="159"/>
    </i>
    <i>
      <x v="109"/>
    </i>
    <i>
      <x v="90"/>
    </i>
    <i>
      <x v="132"/>
    </i>
    <i>
      <x v="64"/>
    </i>
    <i>
      <x v="111"/>
    </i>
    <i>
      <x v="122"/>
    </i>
    <i>
      <x v="76"/>
    </i>
    <i>
      <x v="138"/>
    </i>
    <i>
      <x v="103"/>
    </i>
    <i>
      <x v="83"/>
    </i>
    <i>
      <x v="86"/>
    </i>
    <i>
      <x v="145"/>
    </i>
    <i>
      <x v="48"/>
    </i>
    <i>
      <x v="120"/>
    </i>
    <i>
      <x v="101"/>
    </i>
    <i>
      <x v="123"/>
    </i>
    <i>
      <x v="59"/>
    </i>
    <i>
      <x v="9"/>
    </i>
    <i>
      <x v="21"/>
    </i>
    <i>
      <x v="80"/>
    </i>
    <i>
      <x v="43"/>
    </i>
    <i>
      <x v="42"/>
    </i>
    <i>
      <x v="50"/>
    </i>
    <i>
      <x v="115"/>
    </i>
    <i>
      <x v="53"/>
    </i>
    <i>
      <x v="71"/>
    </i>
    <i>
      <x v="147"/>
    </i>
    <i>
      <x v="25"/>
    </i>
    <i>
      <x v="47"/>
    </i>
    <i>
      <x v="117"/>
    </i>
    <i>
      <x v="28"/>
    </i>
    <i>
      <x v="49"/>
    </i>
    <i>
      <x v="41"/>
    </i>
    <i>
      <x v="156"/>
    </i>
    <i>
      <x v="148"/>
    </i>
    <i>
      <x v="3"/>
    </i>
    <i>
      <x v="125"/>
    </i>
    <i>
      <x v="141"/>
    </i>
    <i>
      <x v="2"/>
    </i>
    <i>
      <x v="5"/>
    </i>
    <i>
      <x v="131"/>
    </i>
    <i>
      <x v="82"/>
    </i>
    <i>
      <x v="44"/>
    </i>
    <i>
      <x v="36"/>
    </i>
    <i>
      <x v="22"/>
    </i>
    <i>
      <x v="11"/>
    </i>
    <i>
      <x v="62"/>
    </i>
    <i>
      <x v="14"/>
    </i>
    <i>
      <x v="35"/>
    </i>
    <i>
      <x v="29"/>
    </i>
    <i>
      <x v="163"/>
    </i>
    <i>
      <x v="95"/>
    </i>
    <i>
      <x v="143"/>
    </i>
    <i>
      <x v="144"/>
    </i>
    <i>
      <x v="154"/>
    </i>
    <i>
      <x v="32"/>
    </i>
    <i>
      <x v="84"/>
    </i>
    <i>
      <x v="91"/>
    </i>
    <i>
      <x v="38"/>
    </i>
    <i>
      <x v="55"/>
    </i>
    <i>
      <x v="97"/>
    </i>
    <i>
      <x v="12"/>
    </i>
    <i>
      <x v="128"/>
    </i>
    <i>
      <x v="116"/>
    </i>
    <i>
      <x v="166"/>
    </i>
    <i>
      <x v="74"/>
    </i>
    <i>
      <x v="20"/>
    </i>
    <i>
      <x v="7"/>
    </i>
    <i t="grand">
      <x/>
    </i>
  </rowItems>
  <colFields count="1">
    <field x="-2"/>
  </colFields>
  <colItems count="2">
    <i>
      <x/>
    </i>
    <i i="1">
      <x v="1"/>
    </i>
  </colItems>
  <dataFields count="2">
    <dataField name="Sum of revenue"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AE5C6D-AE06-47C7-ACF9-134996816F7C}" sourceName="Region">
  <pivotTables>
    <pivotTable tabId="14" name="PivotTable7"/>
    <pivotTable tabId="8" name="PivotTable2"/>
    <pivotTable tabId="9" name="PivotTable3"/>
    <pivotTable tabId="11" name="PivotTable4"/>
    <pivotTable tabId="13" name="PivotTable6"/>
    <pivotTable tabId="12" name="PivotTable5"/>
    <pivotTable tabId="15" name="PivotTable8"/>
  </pivotTables>
  <data>
    <tabular pivotCacheId="96531904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0728C8-D6D8-43A7-AD66-55C1BCB5FD6A}" sourceName="Category">
  <pivotTables>
    <pivotTable tabId="14" name="PivotTable7"/>
    <pivotTable tabId="8" name="PivotTable2"/>
    <pivotTable tabId="9" name="PivotTable3"/>
    <pivotTable tabId="11" name="PivotTable4"/>
    <pivotTable tabId="13" name="PivotTable6"/>
    <pivotTable tabId="12" name="PivotTable5"/>
    <pivotTable tabId="15" name="PivotTable8"/>
  </pivotTables>
  <data>
    <tabular pivotCacheId="965319044">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35EFA26-E62D-410E-941F-4D7FEE872F79}" sourceName="Payment Method">
  <pivotTables>
    <pivotTable tabId="12" name="PivotTable5"/>
    <pivotTable tabId="8" name="PivotTable2"/>
    <pivotTable tabId="9" name="PivotTable3"/>
    <pivotTable tabId="11" name="PivotTable4"/>
    <pivotTable tabId="13" name="PivotTable6"/>
    <pivotTable tabId="14" name="PivotTable7"/>
    <pivotTable tabId="15" name="PivotTable8"/>
  </pivotTables>
  <data>
    <tabular pivotCacheId="965319044">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1A57EE-6232-4B12-983A-EEB76657C044}" cache="Slicer_Region" caption="Region" rowHeight="241300"/>
  <slicer name="Category" xr10:uid="{AE34C52E-0CA5-4DA2-A53A-98240442F355}" cache="Slicer_Category" caption="Category" rowHeight="241300"/>
  <slicer name="Payment Method" xr10:uid="{2194BCB3-6802-4641-B83A-F9C7C9033470}" cache="Slicer_Payment_Method"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9E63AF-D170-4681-8E8A-E5938AEFAFFF}" name="salesdata" displayName="salesdata" ref="A1:N501" totalsRowShown="0" headerRowDxfId="6">
  <autoFilter ref="A1:N501" xr:uid="{00000000-0009-0000-0000-000000000000}"/>
  <tableColumns count="14">
    <tableColumn id="1" xr3:uid="{12CB0470-B5A8-4EE7-A513-002943718561}" name="Order ID"/>
    <tableColumn id="2" xr3:uid="{79CA7E24-0E5D-41EB-AD64-D4119BA71B89}" name="Order Date" dataDxfId="5"/>
    <tableColumn id="3" xr3:uid="{0F371BDC-3F40-4D25-8004-3F9BFBEB99EB}" name="Customer ID"/>
    <tableColumn id="4" xr3:uid="{F5B1F5B5-1477-4A13-A7F1-D7B735873350}" name="Product"/>
    <tableColumn id="5" xr3:uid="{D1041B09-5F7F-4858-9F29-C8AD2E38F5F0}" name="Category"/>
    <tableColumn id="6" xr3:uid="{ABD5CE3D-2B2A-4D90-9400-30BA33FF9E22}" name="Region"/>
    <tableColumn id="7" xr3:uid="{83581ACD-C4E9-46A3-B8A9-0EC6E0A9915E}" name="Quantity"/>
    <tableColumn id="8" xr3:uid="{193040EB-376A-4A54-A62B-15BDA5D08F18}" name="Unit Price" dataDxfId="4"/>
    <tableColumn id="9" xr3:uid="{F06F5154-FA84-453A-9E0E-C8E294E04B2A}" name="Discount %" dataDxfId="3"/>
    <tableColumn id="10" xr3:uid="{A45B970F-C206-43FE-B291-30277F236FC7}" name="Payment Method"/>
    <tableColumn id="11" xr3:uid="{8C3FE002-27ED-400A-9627-DB51F3661B65}" name="revenue" dataDxfId="2">
      <calculatedColumnFormula>G2*H2*(1-I2)</calculatedColumnFormula>
    </tableColumn>
    <tableColumn id="12" xr3:uid="{5D0F19F3-6642-4C9F-B5D3-B231068A0744}" name="cost per unit" dataDxfId="1">
      <calculatedColumnFormula>_xlfn.XLOOKUP(D2,product_cost!A:A,product_cost!B:B)</calculatedColumnFormula>
    </tableColumn>
    <tableColumn id="13" xr3:uid="{77DBD019-046C-48F3-B9DC-2CADFCC0A7F8}" name="profit" dataDxfId="0">
      <calculatedColumnFormula>K2-(G2*L2)</calculatedColumnFormula>
    </tableColumn>
    <tableColumn id="14" xr3:uid="{3E7C4926-5A16-4F42-AA49-17BCC8D66280}" name="profit margin" dataCellStyle="Percent">
      <calculatedColumnFormula>M2/K2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zoomScale="85" zoomScaleNormal="85" workbookViewId="0">
      <pane ySplit="1" topLeftCell="A2" activePane="bottomLeft" state="frozen"/>
      <selection pane="bottomLeft" activeCell="D16" sqref="D16"/>
    </sheetView>
  </sheetViews>
  <sheetFormatPr defaultRowHeight="15" x14ac:dyDescent="0.25"/>
  <cols>
    <col min="1" max="1" width="12" customWidth="1"/>
    <col min="2" max="3" width="14" customWidth="1"/>
    <col min="4" max="4" width="22" customWidth="1"/>
    <col min="5" max="5" width="18" customWidth="1"/>
    <col min="6" max="6" width="12" customWidth="1"/>
    <col min="7" max="7" width="10.85546875" customWidth="1"/>
    <col min="8" max="8" width="13" customWidth="1"/>
    <col min="9" max="9" width="12.85546875" customWidth="1"/>
    <col min="10" max="10" width="20" customWidth="1"/>
    <col min="11" max="11" width="45.28515625" customWidth="1"/>
    <col min="14" max="14" width="9.140625" style="10"/>
  </cols>
  <sheetData>
    <row r="1" spans="1:14" x14ac:dyDescent="0.25">
      <c r="A1" s="1" t="s">
        <v>0</v>
      </c>
      <c r="B1" s="1" t="s">
        <v>1</v>
      </c>
      <c r="C1" s="1" t="s">
        <v>2</v>
      </c>
      <c r="D1" s="1" t="s">
        <v>3</v>
      </c>
      <c r="E1" s="1" t="s">
        <v>4</v>
      </c>
      <c r="F1" s="1" t="s">
        <v>5</v>
      </c>
      <c r="G1" s="1" t="s">
        <v>6</v>
      </c>
      <c r="H1" s="1" t="s">
        <v>7</v>
      </c>
      <c r="I1" s="1" t="s">
        <v>8</v>
      </c>
      <c r="J1" s="1" t="s">
        <v>9</v>
      </c>
      <c r="K1" s="1" t="s">
        <v>702</v>
      </c>
      <c r="L1" s="1" t="s">
        <v>704</v>
      </c>
      <c r="M1" s="1" t="s">
        <v>705</v>
      </c>
      <c r="N1" s="11" t="s">
        <v>706</v>
      </c>
    </row>
    <row r="2" spans="1:14" x14ac:dyDescent="0.25">
      <c r="A2" t="s">
        <v>10</v>
      </c>
      <c r="B2" s="2">
        <v>45985</v>
      </c>
      <c r="C2" t="s">
        <v>11</v>
      </c>
      <c r="D2" t="s">
        <v>12</v>
      </c>
      <c r="E2" t="s">
        <v>13</v>
      </c>
      <c r="F2" t="s">
        <v>14</v>
      </c>
      <c r="G2">
        <v>2</v>
      </c>
      <c r="H2" s="3">
        <v>1999</v>
      </c>
      <c r="I2" s="4">
        <v>0</v>
      </c>
      <c r="J2" t="s">
        <v>15</v>
      </c>
      <c r="K2">
        <f t="shared" ref="K2:K65" si="0">G2*H2*(1-I2)</f>
        <v>3998</v>
      </c>
      <c r="L2">
        <f>_xlfn.XLOOKUP(D2,product_cost!A:A,product_cost!B:B)</f>
        <v>1200</v>
      </c>
      <c r="M2">
        <f t="shared" ref="M2:M65" si="1">K2-(G2*L2)</f>
        <v>1598</v>
      </c>
      <c r="N2" s="10">
        <f t="shared" ref="N2:N65" si="2">M2/K2</f>
        <v>0.39969984992496249</v>
      </c>
    </row>
    <row r="3" spans="1:14" x14ac:dyDescent="0.25">
      <c r="A3" t="s">
        <v>16</v>
      </c>
      <c r="B3" s="2">
        <v>46004</v>
      </c>
      <c r="C3" t="s">
        <v>17</v>
      </c>
      <c r="D3" t="s">
        <v>18</v>
      </c>
      <c r="E3" t="s">
        <v>13</v>
      </c>
      <c r="F3" t="s">
        <v>19</v>
      </c>
      <c r="G3">
        <v>2</v>
      </c>
      <c r="H3" s="3">
        <v>2499</v>
      </c>
      <c r="I3" s="4">
        <v>0</v>
      </c>
      <c r="J3" t="s">
        <v>20</v>
      </c>
      <c r="K3">
        <f t="shared" si="0"/>
        <v>4998</v>
      </c>
      <c r="L3">
        <f>_xlfn.XLOOKUP(D3,product_cost!A:A,product_cost!B:B)</f>
        <v>1600</v>
      </c>
      <c r="M3">
        <f t="shared" si="1"/>
        <v>1798</v>
      </c>
      <c r="N3" s="10">
        <f t="shared" si="2"/>
        <v>0.35974389755902358</v>
      </c>
    </row>
    <row r="4" spans="1:14" x14ac:dyDescent="0.25">
      <c r="A4" t="s">
        <v>21</v>
      </c>
      <c r="B4" s="2">
        <v>45777</v>
      </c>
      <c r="C4" t="s">
        <v>22</v>
      </c>
      <c r="D4" t="s">
        <v>23</v>
      </c>
      <c r="E4" t="s">
        <v>24</v>
      </c>
      <c r="F4" t="s">
        <v>25</v>
      </c>
      <c r="G4">
        <v>1</v>
      </c>
      <c r="H4" s="3">
        <v>3999</v>
      </c>
      <c r="I4" s="4">
        <v>0</v>
      </c>
      <c r="J4" t="s">
        <v>20</v>
      </c>
      <c r="K4">
        <f t="shared" si="0"/>
        <v>3999</v>
      </c>
      <c r="L4">
        <f>_xlfn.XLOOKUP(D4,product_cost!A:A,product_cost!B:B)</f>
        <v>2600</v>
      </c>
      <c r="M4">
        <f t="shared" si="1"/>
        <v>1399</v>
      </c>
      <c r="N4" s="10">
        <f t="shared" si="2"/>
        <v>0.34983745936484123</v>
      </c>
    </row>
    <row r="5" spans="1:14" x14ac:dyDescent="0.25">
      <c r="A5" t="s">
        <v>26</v>
      </c>
      <c r="B5" s="2">
        <v>45887</v>
      </c>
      <c r="C5" t="s">
        <v>27</v>
      </c>
      <c r="D5" t="s">
        <v>28</v>
      </c>
      <c r="E5" t="s">
        <v>29</v>
      </c>
      <c r="F5" t="s">
        <v>14</v>
      </c>
      <c r="G5">
        <v>3</v>
      </c>
      <c r="H5" s="3">
        <v>599</v>
      </c>
      <c r="I5" s="4">
        <v>0</v>
      </c>
      <c r="J5" t="s">
        <v>30</v>
      </c>
      <c r="K5">
        <f t="shared" si="0"/>
        <v>1797</v>
      </c>
      <c r="L5">
        <f>_xlfn.XLOOKUP(D5,product_cost!A:A,product_cost!B:B)</f>
        <v>300</v>
      </c>
      <c r="M5">
        <f t="shared" si="1"/>
        <v>897</v>
      </c>
      <c r="N5" s="10">
        <f t="shared" si="2"/>
        <v>0.4991652754590985</v>
      </c>
    </row>
    <row r="6" spans="1:14" x14ac:dyDescent="0.25">
      <c r="A6" t="s">
        <v>31</v>
      </c>
      <c r="B6" s="2">
        <v>45832</v>
      </c>
      <c r="C6" t="s">
        <v>32</v>
      </c>
      <c r="D6" t="s">
        <v>33</v>
      </c>
      <c r="E6" t="s">
        <v>13</v>
      </c>
      <c r="F6" t="s">
        <v>19</v>
      </c>
      <c r="G6">
        <v>1</v>
      </c>
      <c r="H6" s="3">
        <v>3499</v>
      </c>
      <c r="I6" s="4">
        <v>0.1</v>
      </c>
      <c r="J6" t="s">
        <v>15</v>
      </c>
      <c r="K6">
        <f t="shared" si="0"/>
        <v>3149.1</v>
      </c>
      <c r="L6">
        <f>_xlfn.XLOOKUP(D6,product_cost!A:A,product_cost!B:B)</f>
        <v>2300</v>
      </c>
      <c r="M6">
        <f t="shared" si="1"/>
        <v>849.09999999999991</v>
      </c>
      <c r="N6" s="10">
        <f t="shared" si="2"/>
        <v>0.26963259343939538</v>
      </c>
    </row>
    <row r="7" spans="1:14" x14ac:dyDescent="0.25">
      <c r="A7" t="s">
        <v>34</v>
      </c>
      <c r="B7" s="2">
        <v>45852</v>
      </c>
      <c r="C7" t="s">
        <v>35</v>
      </c>
      <c r="D7" t="s">
        <v>36</v>
      </c>
      <c r="E7" t="s">
        <v>29</v>
      </c>
      <c r="F7" t="s">
        <v>19</v>
      </c>
      <c r="G7">
        <v>3</v>
      </c>
      <c r="H7" s="3">
        <v>399</v>
      </c>
      <c r="I7" s="4">
        <v>0.1</v>
      </c>
      <c r="J7" t="s">
        <v>30</v>
      </c>
      <c r="K7">
        <f t="shared" si="0"/>
        <v>1077.3</v>
      </c>
      <c r="L7">
        <f>_xlfn.XLOOKUP(D7,product_cost!A:A,product_cost!B:B)</f>
        <v>180</v>
      </c>
      <c r="M7">
        <f t="shared" si="1"/>
        <v>537.29999999999995</v>
      </c>
      <c r="N7" s="10">
        <f t="shared" si="2"/>
        <v>0.49874686716791977</v>
      </c>
    </row>
    <row r="8" spans="1:14" x14ac:dyDescent="0.25">
      <c r="A8" t="s">
        <v>37</v>
      </c>
      <c r="B8" s="2">
        <v>45932</v>
      </c>
      <c r="C8" t="s">
        <v>38</v>
      </c>
      <c r="D8" t="s">
        <v>39</v>
      </c>
      <c r="E8" t="s">
        <v>40</v>
      </c>
      <c r="F8" t="s">
        <v>41</v>
      </c>
      <c r="G8">
        <v>1</v>
      </c>
      <c r="H8" s="3">
        <v>2999</v>
      </c>
      <c r="I8" s="4">
        <v>0</v>
      </c>
      <c r="J8" t="s">
        <v>42</v>
      </c>
      <c r="K8">
        <f t="shared" si="0"/>
        <v>2999</v>
      </c>
      <c r="L8">
        <f>_xlfn.XLOOKUP(D8,product_cost!A:A,product_cost!B:B)</f>
        <v>1800</v>
      </c>
      <c r="M8">
        <f t="shared" si="1"/>
        <v>1199</v>
      </c>
      <c r="N8" s="10">
        <f t="shared" si="2"/>
        <v>0.39979993331110369</v>
      </c>
    </row>
    <row r="9" spans="1:14" x14ac:dyDescent="0.25">
      <c r="A9" t="s">
        <v>43</v>
      </c>
      <c r="B9" s="2">
        <v>45756</v>
      </c>
      <c r="C9" t="s">
        <v>44</v>
      </c>
      <c r="D9" t="s">
        <v>12</v>
      </c>
      <c r="E9" t="s">
        <v>13</v>
      </c>
      <c r="F9" t="s">
        <v>19</v>
      </c>
      <c r="G9">
        <v>2</v>
      </c>
      <c r="H9" s="3">
        <v>1999</v>
      </c>
      <c r="I9" s="4">
        <v>0.1</v>
      </c>
      <c r="J9" t="s">
        <v>20</v>
      </c>
      <c r="K9">
        <f t="shared" si="0"/>
        <v>3598.2000000000003</v>
      </c>
      <c r="L9">
        <f>_xlfn.XLOOKUP(D9,product_cost!A:A,product_cost!B:B)</f>
        <v>1200</v>
      </c>
      <c r="M9">
        <f t="shared" si="1"/>
        <v>1198.2000000000003</v>
      </c>
      <c r="N9" s="10">
        <f t="shared" si="2"/>
        <v>0.33299983324995835</v>
      </c>
    </row>
    <row r="10" spans="1:14" x14ac:dyDescent="0.25">
      <c r="A10" t="s">
        <v>45</v>
      </c>
      <c r="B10" s="2">
        <v>45709</v>
      </c>
      <c r="C10" t="s">
        <v>46</v>
      </c>
      <c r="D10" t="s">
        <v>28</v>
      </c>
      <c r="E10" t="s">
        <v>29</v>
      </c>
      <c r="F10" t="s">
        <v>14</v>
      </c>
      <c r="G10">
        <v>2</v>
      </c>
      <c r="H10" s="3">
        <v>599</v>
      </c>
      <c r="I10" s="4">
        <v>0.15</v>
      </c>
      <c r="J10" t="s">
        <v>47</v>
      </c>
      <c r="K10">
        <f t="shared" si="0"/>
        <v>1018.3</v>
      </c>
      <c r="L10">
        <f>_xlfn.XLOOKUP(D10,product_cost!A:A,product_cost!B:B)</f>
        <v>300</v>
      </c>
      <c r="M10">
        <f t="shared" si="1"/>
        <v>418.29999999999995</v>
      </c>
      <c r="N10" s="10">
        <f t="shared" si="2"/>
        <v>0.41078267701070409</v>
      </c>
    </row>
    <row r="11" spans="1:14" x14ac:dyDescent="0.25">
      <c r="A11" t="s">
        <v>48</v>
      </c>
      <c r="B11" s="2">
        <v>45839</v>
      </c>
      <c r="C11" t="s">
        <v>49</v>
      </c>
      <c r="D11" t="s">
        <v>50</v>
      </c>
      <c r="E11" t="s">
        <v>24</v>
      </c>
      <c r="F11" t="s">
        <v>19</v>
      </c>
      <c r="G11">
        <v>1</v>
      </c>
      <c r="H11" s="3">
        <v>799</v>
      </c>
      <c r="I11" s="4">
        <v>0.15</v>
      </c>
      <c r="J11" t="s">
        <v>42</v>
      </c>
      <c r="K11">
        <f t="shared" si="0"/>
        <v>679.15</v>
      </c>
      <c r="L11">
        <f>_xlfn.XLOOKUP(D11,product_cost!A:A,product_cost!B:B)</f>
        <v>400</v>
      </c>
      <c r="M11">
        <f t="shared" si="1"/>
        <v>279.14999999999998</v>
      </c>
      <c r="N11" s="10">
        <f t="shared" si="2"/>
        <v>0.41102849149672382</v>
      </c>
    </row>
    <row r="12" spans="1:14" x14ac:dyDescent="0.25">
      <c r="A12" t="s">
        <v>51</v>
      </c>
      <c r="B12" s="2">
        <v>45983</v>
      </c>
      <c r="C12" t="s">
        <v>52</v>
      </c>
      <c r="D12" t="s">
        <v>53</v>
      </c>
      <c r="E12" t="s">
        <v>40</v>
      </c>
      <c r="F12" t="s">
        <v>25</v>
      </c>
      <c r="G12">
        <v>2</v>
      </c>
      <c r="H12" s="3">
        <v>1799</v>
      </c>
      <c r="I12" s="4">
        <v>0</v>
      </c>
      <c r="J12" t="s">
        <v>47</v>
      </c>
      <c r="K12">
        <f t="shared" si="0"/>
        <v>3598</v>
      </c>
      <c r="L12">
        <f>_xlfn.XLOOKUP(D12,product_cost!A:A,product_cost!B:B)</f>
        <v>1000</v>
      </c>
      <c r="M12">
        <f t="shared" si="1"/>
        <v>1598</v>
      </c>
      <c r="N12" s="10">
        <f t="shared" si="2"/>
        <v>0.4441356309060589</v>
      </c>
    </row>
    <row r="13" spans="1:14" x14ac:dyDescent="0.25">
      <c r="A13" t="s">
        <v>54</v>
      </c>
      <c r="B13" s="2">
        <v>45985</v>
      </c>
      <c r="C13" t="s">
        <v>55</v>
      </c>
      <c r="D13" t="s">
        <v>53</v>
      </c>
      <c r="E13" t="s">
        <v>40</v>
      </c>
      <c r="F13" t="s">
        <v>19</v>
      </c>
      <c r="G13">
        <v>1</v>
      </c>
      <c r="H13" s="3">
        <v>1799</v>
      </c>
      <c r="I13" s="4">
        <v>0</v>
      </c>
      <c r="J13" t="s">
        <v>20</v>
      </c>
      <c r="K13">
        <f t="shared" si="0"/>
        <v>1799</v>
      </c>
      <c r="L13">
        <f>_xlfn.XLOOKUP(D13,product_cost!A:A,product_cost!B:B)</f>
        <v>1000</v>
      </c>
      <c r="M13">
        <f t="shared" si="1"/>
        <v>799</v>
      </c>
      <c r="N13" s="10">
        <f t="shared" si="2"/>
        <v>0.4441356309060589</v>
      </c>
    </row>
    <row r="14" spans="1:14" x14ac:dyDescent="0.25">
      <c r="A14" t="s">
        <v>56</v>
      </c>
      <c r="B14" s="2">
        <v>45674</v>
      </c>
      <c r="C14" t="s">
        <v>57</v>
      </c>
      <c r="D14" t="s">
        <v>39</v>
      </c>
      <c r="E14" t="s">
        <v>40</v>
      </c>
      <c r="F14" t="s">
        <v>41</v>
      </c>
      <c r="G14">
        <v>1</v>
      </c>
      <c r="H14" s="3">
        <v>2999</v>
      </c>
      <c r="I14" s="4">
        <v>0</v>
      </c>
      <c r="J14" t="s">
        <v>20</v>
      </c>
      <c r="K14">
        <f t="shared" si="0"/>
        <v>2999</v>
      </c>
      <c r="L14">
        <f>_xlfn.XLOOKUP(D14,product_cost!A:A,product_cost!B:B)</f>
        <v>1800</v>
      </c>
      <c r="M14">
        <f t="shared" si="1"/>
        <v>1199</v>
      </c>
      <c r="N14" s="10">
        <f t="shared" si="2"/>
        <v>0.39979993331110369</v>
      </c>
    </row>
    <row r="15" spans="1:14" x14ac:dyDescent="0.25">
      <c r="A15" t="s">
        <v>58</v>
      </c>
      <c r="B15" s="2">
        <v>45993</v>
      </c>
      <c r="C15" t="s">
        <v>59</v>
      </c>
      <c r="D15" t="s">
        <v>39</v>
      </c>
      <c r="E15" t="s">
        <v>40</v>
      </c>
      <c r="F15" t="s">
        <v>14</v>
      </c>
      <c r="G15">
        <v>3</v>
      </c>
      <c r="H15" s="3">
        <v>2999</v>
      </c>
      <c r="I15" s="4">
        <v>0.1</v>
      </c>
      <c r="J15" t="s">
        <v>47</v>
      </c>
      <c r="K15">
        <f t="shared" si="0"/>
        <v>8097.3</v>
      </c>
      <c r="L15">
        <f>_xlfn.XLOOKUP(D15,product_cost!A:A,product_cost!B:B)</f>
        <v>1800</v>
      </c>
      <c r="M15">
        <f t="shared" si="1"/>
        <v>2697.3</v>
      </c>
      <c r="N15" s="10">
        <f t="shared" si="2"/>
        <v>0.33311103701233746</v>
      </c>
    </row>
    <row r="16" spans="1:14" x14ac:dyDescent="0.25">
      <c r="A16" t="s">
        <v>60</v>
      </c>
      <c r="B16" s="2">
        <v>45729</v>
      </c>
      <c r="C16" t="s">
        <v>61</v>
      </c>
      <c r="D16" t="s">
        <v>62</v>
      </c>
      <c r="E16" t="s">
        <v>24</v>
      </c>
      <c r="F16" t="s">
        <v>25</v>
      </c>
      <c r="G16">
        <v>2</v>
      </c>
      <c r="H16" s="3">
        <v>1499</v>
      </c>
      <c r="I16" s="4">
        <v>0</v>
      </c>
      <c r="J16" t="s">
        <v>42</v>
      </c>
      <c r="K16">
        <f t="shared" si="0"/>
        <v>2998</v>
      </c>
      <c r="L16">
        <f>_xlfn.XLOOKUP(D16,product_cost!A:A,product_cost!B:B)</f>
        <v>800</v>
      </c>
      <c r="M16">
        <f t="shared" si="1"/>
        <v>1398</v>
      </c>
      <c r="N16" s="10">
        <f t="shared" si="2"/>
        <v>0.46631087391594395</v>
      </c>
    </row>
    <row r="17" spans="1:14" x14ac:dyDescent="0.25">
      <c r="A17" t="s">
        <v>63</v>
      </c>
      <c r="B17" s="2">
        <v>45862</v>
      </c>
      <c r="C17" t="s">
        <v>64</v>
      </c>
      <c r="D17" t="s">
        <v>65</v>
      </c>
      <c r="E17" t="s">
        <v>29</v>
      </c>
      <c r="F17" t="s">
        <v>25</v>
      </c>
      <c r="G17">
        <v>5</v>
      </c>
      <c r="H17" s="3">
        <v>1299</v>
      </c>
      <c r="I17" s="4">
        <v>0</v>
      </c>
      <c r="J17" t="s">
        <v>15</v>
      </c>
      <c r="K17">
        <f t="shared" si="0"/>
        <v>6495</v>
      </c>
      <c r="L17">
        <f>_xlfn.XLOOKUP(D17,product_cost!A:A,product_cost!B:B)</f>
        <v>750</v>
      </c>
      <c r="M17">
        <f t="shared" si="1"/>
        <v>2745</v>
      </c>
      <c r="N17" s="10">
        <f t="shared" si="2"/>
        <v>0.42263279445727481</v>
      </c>
    </row>
    <row r="18" spans="1:14" x14ac:dyDescent="0.25">
      <c r="A18" t="s">
        <v>66</v>
      </c>
      <c r="B18" s="2">
        <v>45682</v>
      </c>
      <c r="C18" t="s">
        <v>11</v>
      </c>
      <c r="D18" t="s">
        <v>33</v>
      </c>
      <c r="E18" t="s">
        <v>13</v>
      </c>
      <c r="F18" t="s">
        <v>25</v>
      </c>
      <c r="G18">
        <v>2</v>
      </c>
      <c r="H18" s="3">
        <v>3499</v>
      </c>
      <c r="I18" s="4">
        <v>0.1</v>
      </c>
      <c r="J18" t="s">
        <v>42</v>
      </c>
      <c r="K18">
        <f t="shared" si="0"/>
        <v>6298.2</v>
      </c>
      <c r="L18">
        <f>_xlfn.XLOOKUP(D18,product_cost!A:A,product_cost!B:B)</f>
        <v>2300</v>
      </c>
      <c r="M18">
        <f t="shared" si="1"/>
        <v>1698.1999999999998</v>
      </c>
      <c r="N18" s="10">
        <f t="shared" si="2"/>
        <v>0.26963259343939538</v>
      </c>
    </row>
    <row r="19" spans="1:14" x14ac:dyDescent="0.25">
      <c r="A19" t="s">
        <v>67</v>
      </c>
      <c r="B19" s="2">
        <v>45690</v>
      </c>
      <c r="C19" t="s">
        <v>68</v>
      </c>
      <c r="D19" t="s">
        <v>39</v>
      </c>
      <c r="E19" t="s">
        <v>40</v>
      </c>
      <c r="F19" t="s">
        <v>41</v>
      </c>
      <c r="G19">
        <v>2</v>
      </c>
      <c r="H19" s="3">
        <v>2999</v>
      </c>
      <c r="I19" s="4">
        <v>0.05</v>
      </c>
      <c r="J19" t="s">
        <v>42</v>
      </c>
      <c r="K19">
        <f t="shared" si="0"/>
        <v>5698.0999999999995</v>
      </c>
      <c r="L19">
        <f>_xlfn.XLOOKUP(D19,product_cost!A:A,product_cost!B:B)</f>
        <v>1800</v>
      </c>
      <c r="M19">
        <f t="shared" si="1"/>
        <v>2098.0999999999995</v>
      </c>
      <c r="N19" s="10">
        <f t="shared" si="2"/>
        <v>0.36821045611695119</v>
      </c>
    </row>
    <row r="20" spans="1:14" x14ac:dyDescent="0.25">
      <c r="A20" t="s">
        <v>69</v>
      </c>
      <c r="B20" s="2">
        <v>45663</v>
      </c>
      <c r="C20" t="s">
        <v>70</v>
      </c>
      <c r="D20" t="s">
        <v>62</v>
      </c>
      <c r="E20" t="s">
        <v>24</v>
      </c>
      <c r="F20" t="s">
        <v>41</v>
      </c>
      <c r="G20">
        <v>1</v>
      </c>
      <c r="H20" s="3">
        <v>1499</v>
      </c>
      <c r="I20" s="4">
        <v>0.15</v>
      </c>
      <c r="J20" t="s">
        <v>47</v>
      </c>
      <c r="K20">
        <f t="shared" si="0"/>
        <v>1274.1499999999999</v>
      </c>
      <c r="L20">
        <f>_xlfn.XLOOKUP(D20,product_cost!A:A,product_cost!B:B)</f>
        <v>800</v>
      </c>
      <c r="M20">
        <f t="shared" si="1"/>
        <v>474.14999999999986</v>
      </c>
      <c r="N20" s="10">
        <f t="shared" si="2"/>
        <v>0.3721304399011105</v>
      </c>
    </row>
    <row r="21" spans="1:14" x14ac:dyDescent="0.25">
      <c r="A21" t="s">
        <v>71</v>
      </c>
      <c r="B21" s="2">
        <v>45715</v>
      </c>
      <c r="C21" t="s">
        <v>72</v>
      </c>
      <c r="D21" t="s">
        <v>39</v>
      </c>
      <c r="E21" t="s">
        <v>40</v>
      </c>
      <c r="F21" t="s">
        <v>41</v>
      </c>
      <c r="G21">
        <v>1</v>
      </c>
      <c r="H21" s="3">
        <v>2999</v>
      </c>
      <c r="I21" s="4">
        <v>0</v>
      </c>
      <c r="J21" t="s">
        <v>42</v>
      </c>
      <c r="K21">
        <f t="shared" si="0"/>
        <v>2999</v>
      </c>
      <c r="L21">
        <f>_xlfn.XLOOKUP(D21,product_cost!A:A,product_cost!B:B)</f>
        <v>1800</v>
      </c>
      <c r="M21">
        <f t="shared" si="1"/>
        <v>1199</v>
      </c>
      <c r="N21" s="10">
        <f t="shared" si="2"/>
        <v>0.39979993331110369</v>
      </c>
    </row>
    <row r="22" spans="1:14" x14ac:dyDescent="0.25">
      <c r="A22" t="s">
        <v>73</v>
      </c>
      <c r="B22" s="2">
        <v>45749</v>
      </c>
      <c r="C22" t="s">
        <v>22</v>
      </c>
      <c r="D22" t="s">
        <v>18</v>
      </c>
      <c r="E22" t="s">
        <v>13</v>
      </c>
      <c r="F22" t="s">
        <v>14</v>
      </c>
      <c r="G22">
        <v>3</v>
      </c>
      <c r="H22" s="3">
        <v>2499</v>
      </c>
      <c r="I22" s="4">
        <v>0</v>
      </c>
      <c r="J22" t="s">
        <v>20</v>
      </c>
      <c r="K22">
        <f t="shared" si="0"/>
        <v>7497</v>
      </c>
      <c r="L22">
        <f>_xlfn.XLOOKUP(D22,product_cost!A:A,product_cost!B:B)</f>
        <v>1600</v>
      </c>
      <c r="M22">
        <f t="shared" si="1"/>
        <v>2697</v>
      </c>
      <c r="N22" s="10">
        <f t="shared" si="2"/>
        <v>0.35974389755902358</v>
      </c>
    </row>
    <row r="23" spans="1:14" x14ac:dyDescent="0.25">
      <c r="A23" t="s">
        <v>74</v>
      </c>
      <c r="B23" s="2">
        <v>45849</v>
      </c>
      <c r="C23" t="s">
        <v>75</v>
      </c>
      <c r="D23" t="s">
        <v>53</v>
      </c>
      <c r="E23" t="s">
        <v>40</v>
      </c>
      <c r="F23" t="s">
        <v>19</v>
      </c>
      <c r="G23">
        <v>4</v>
      </c>
      <c r="H23" s="3">
        <v>1799</v>
      </c>
      <c r="I23" s="4">
        <v>0.15</v>
      </c>
      <c r="J23" t="s">
        <v>42</v>
      </c>
      <c r="K23">
        <f t="shared" si="0"/>
        <v>6116.5999999999995</v>
      </c>
      <c r="L23">
        <f>_xlfn.XLOOKUP(D23,product_cost!A:A,product_cost!B:B)</f>
        <v>1000</v>
      </c>
      <c r="M23">
        <f t="shared" si="1"/>
        <v>2116.5999999999995</v>
      </c>
      <c r="N23" s="10">
        <f t="shared" si="2"/>
        <v>0.34604191871301043</v>
      </c>
    </row>
    <row r="24" spans="1:14" x14ac:dyDescent="0.25">
      <c r="A24" t="s">
        <v>76</v>
      </c>
      <c r="B24" s="2">
        <v>45823</v>
      </c>
      <c r="C24" t="s">
        <v>77</v>
      </c>
      <c r="D24" t="s">
        <v>12</v>
      </c>
      <c r="E24" t="s">
        <v>13</v>
      </c>
      <c r="F24" t="s">
        <v>41</v>
      </c>
      <c r="G24">
        <v>1</v>
      </c>
      <c r="H24" s="3">
        <v>1999</v>
      </c>
      <c r="I24" s="4">
        <v>0.05</v>
      </c>
      <c r="J24" t="s">
        <v>20</v>
      </c>
      <c r="K24">
        <f t="shared" si="0"/>
        <v>1899.05</v>
      </c>
      <c r="L24">
        <f>_xlfn.XLOOKUP(D24,product_cost!A:A,product_cost!B:B)</f>
        <v>1200</v>
      </c>
      <c r="M24">
        <f t="shared" si="1"/>
        <v>699.05</v>
      </c>
      <c r="N24" s="10">
        <f t="shared" si="2"/>
        <v>0.368105105184171</v>
      </c>
    </row>
    <row r="25" spans="1:14" x14ac:dyDescent="0.25">
      <c r="A25" t="s">
        <v>78</v>
      </c>
      <c r="B25" s="2">
        <v>45687</v>
      </c>
      <c r="C25" t="s">
        <v>79</v>
      </c>
      <c r="D25" t="s">
        <v>23</v>
      </c>
      <c r="E25" t="s">
        <v>24</v>
      </c>
      <c r="F25" t="s">
        <v>25</v>
      </c>
      <c r="G25">
        <v>4</v>
      </c>
      <c r="H25" s="3">
        <v>3999</v>
      </c>
      <c r="I25" s="4">
        <v>0</v>
      </c>
      <c r="J25" t="s">
        <v>15</v>
      </c>
      <c r="K25">
        <f t="shared" si="0"/>
        <v>15996</v>
      </c>
      <c r="L25">
        <f>_xlfn.XLOOKUP(D25,product_cost!A:A,product_cost!B:B)</f>
        <v>2600</v>
      </c>
      <c r="M25">
        <f t="shared" si="1"/>
        <v>5596</v>
      </c>
      <c r="N25" s="10">
        <f t="shared" si="2"/>
        <v>0.34983745936484123</v>
      </c>
    </row>
    <row r="26" spans="1:14" x14ac:dyDescent="0.25">
      <c r="A26" t="s">
        <v>80</v>
      </c>
      <c r="B26" s="2">
        <v>45930</v>
      </c>
      <c r="C26" t="s">
        <v>81</v>
      </c>
      <c r="D26" t="s">
        <v>33</v>
      </c>
      <c r="E26" t="s">
        <v>13</v>
      </c>
      <c r="F26" t="s">
        <v>14</v>
      </c>
      <c r="G26">
        <v>2</v>
      </c>
      <c r="H26" s="3">
        <v>3499</v>
      </c>
      <c r="I26" s="4">
        <v>0.15</v>
      </c>
      <c r="J26" t="s">
        <v>47</v>
      </c>
      <c r="K26">
        <f t="shared" si="0"/>
        <v>5948.3</v>
      </c>
      <c r="L26">
        <f>_xlfn.XLOOKUP(D26,product_cost!A:A,product_cost!B:B)</f>
        <v>2300</v>
      </c>
      <c r="M26">
        <f t="shared" si="1"/>
        <v>1348.3000000000002</v>
      </c>
      <c r="N26" s="10">
        <f t="shared" si="2"/>
        <v>0.22666980481818336</v>
      </c>
    </row>
    <row r="27" spans="1:14" x14ac:dyDescent="0.25">
      <c r="A27" t="s">
        <v>82</v>
      </c>
      <c r="B27" s="2">
        <v>45928</v>
      </c>
      <c r="C27" t="s">
        <v>83</v>
      </c>
      <c r="D27" t="s">
        <v>39</v>
      </c>
      <c r="E27" t="s">
        <v>40</v>
      </c>
      <c r="F27" t="s">
        <v>14</v>
      </c>
      <c r="G27">
        <v>4</v>
      </c>
      <c r="H27" s="3">
        <v>2999</v>
      </c>
      <c r="I27" s="4">
        <v>0.15</v>
      </c>
      <c r="J27" t="s">
        <v>47</v>
      </c>
      <c r="K27">
        <f t="shared" si="0"/>
        <v>10196.6</v>
      </c>
      <c r="L27">
        <f>_xlfn.XLOOKUP(D27,product_cost!A:A,product_cost!B:B)</f>
        <v>1800</v>
      </c>
      <c r="M27">
        <f t="shared" si="1"/>
        <v>2996.6000000000004</v>
      </c>
      <c r="N27" s="10">
        <f t="shared" si="2"/>
        <v>0.29388227448365145</v>
      </c>
    </row>
    <row r="28" spans="1:14" x14ac:dyDescent="0.25">
      <c r="A28" t="s">
        <v>84</v>
      </c>
      <c r="B28" s="2">
        <v>45862</v>
      </c>
      <c r="C28" t="s">
        <v>85</v>
      </c>
      <c r="D28" t="s">
        <v>50</v>
      </c>
      <c r="E28" t="s">
        <v>24</v>
      </c>
      <c r="F28" t="s">
        <v>25</v>
      </c>
      <c r="G28">
        <v>1</v>
      </c>
      <c r="H28" s="3">
        <v>799</v>
      </c>
      <c r="I28" s="4">
        <v>0.15</v>
      </c>
      <c r="J28" t="s">
        <v>15</v>
      </c>
      <c r="K28">
        <f t="shared" si="0"/>
        <v>679.15</v>
      </c>
      <c r="L28">
        <f>_xlfn.XLOOKUP(D28,product_cost!A:A,product_cost!B:B)</f>
        <v>400</v>
      </c>
      <c r="M28">
        <f t="shared" si="1"/>
        <v>279.14999999999998</v>
      </c>
      <c r="N28" s="10">
        <f t="shared" si="2"/>
        <v>0.41102849149672382</v>
      </c>
    </row>
    <row r="29" spans="1:14" x14ac:dyDescent="0.25">
      <c r="A29" t="s">
        <v>86</v>
      </c>
      <c r="B29" s="2">
        <v>45784</v>
      </c>
      <c r="C29" t="s">
        <v>87</v>
      </c>
      <c r="D29" t="s">
        <v>18</v>
      </c>
      <c r="E29" t="s">
        <v>13</v>
      </c>
      <c r="F29" t="s">
        <v>14</v>
      </c>
      <c r="G29">
        <v>1</v>
      </c>
      <c r="H29" s="3">
        <v>2499</v>
      </c>
      <c r="I29" s="4">
        <v>0.05</v>
      </c>
      <c r="J29" t="s">
        <v>42</v>
      </c>
      <c r="K29">
        <f t="shared" si="0"/>
        <v>2374.0499999999997</v>
      </c>
      <c r="L29">
        <f>_xlfn.XLOOKUP(D29,product_cost!A:A,product_cost!B:B)</f>
        <v>1600</v>
      </c>
      <c r="M29">
        <f t="shared" si="1"/>
        <v>774.04999999999973</v>
      </c>
      <c r="N29" s="10">
        <f t="shared" si="2"/>
        <v>0.3260462079568669</v>
      </c>
    </row>
    <row r="30" spans="1:14" x14ac:dyDescent="0.25">
      <c r="A30" t="s">
        <v>88</v>
      </c>
      <c r="B30" s="2">
        <v>45770</v>
      </c>
      <c r="C30" t="s">
        <v>89</v>
      </c>
      <c r="D30" t="s">
        <v>18</v>
      </c>
      <c r="E30" t="s">
        <v>13</v>
      </c>
      <c r="F30" t="s">
        <v>19</v>
      </c>
      <c r="G30">
        <v>2</v>
      </c>
      <c r="H30" s="3">
        <v>2499</v>
      </c>
      <c r="I30" s="4">
        <v>0</v>
      </c>
      <c r="J30" t="s">
        <v>15</v>
      </c>
      <c r="K30">
        <f t="shared" si="0"/>
        <v>4998</v>
      </c>
      <c r="L30">
        <f>_xlfn.XLOOKUP(D30,product_cost!A:A,product_cost!B:B)</f>
        <v>1600</v>
      </c>
      <c r="M30">
        <f t="shared" si="1"/>
        <v>1798</v>
      </c>
      <c r="N30" s="10">
        <f t="shared" si="2"/>
        <v>0.35974389755902358</v>
      </c>
    </row>
    <row r="31" spans="1:14" x14ac:dyDescent="0.25">
      <c r="A31" t="s">
        <v>90</v>
      </c>
      <c r="B31" s="2">
        <v>45827</v>
      </c>
      <c r="C31" t="s">
        <v>91</v>
      </c>
      <c r="D31" t="s">
        <v>53</v>
      </c>
      <c r="E31" t="s">
        <v>40</v>
      </c>
      <c r="F31" t="s">
        <v>14</v>
      </c>
      <c r="G31">
        <v>1</v>
      </c>
      <c r="H31" s="3">
        <v>1799</v>
      </c>
      <c r="I31" s="4">
        <v>0.1</v>
      </c>
      <c r="J31" t="s">
        <v>42</v>
      </c>
      <c r="K31">
        <f t="shared" si="0"/>
        <v>1619.1000000000001</v>
      </c>
      <c r="L31">
        <f>_xlfn.XLOOKUP(D31,product_cost!A:A,product_cost!B:B)</f>
        <v>1000</v>
      </c>
      <c r="M31">
        <f t="shared" si="1"/>
        <v>619.10000000000014</v>
      </c>
      <c r="N31" s="10">
        <f t="shared" si="2"/>
        <v>0.38237292322895439</v>
      </c>
    </row>
    <row r="32" spans="1:14" x14ac:dyDescent="0.25">
      <c r="A32" t="s">
        <v>92</v>
      </c>
      <c r="B32" s="2">
        <v>45725</v>
      </c>
      <c r="C32" t="s">
        <v>93</v>
      </c>
      <c r="D32" t="s">
        <v>23</v>
      </c>
      <c r="E32" t="s">
        <v>24</v>
      </c>
      <c r="F32" t="s">
        <v>25</v>
      </c>
      <c r="G32">
        <v>2</v>
      </c>
      <c r="H32" s="3">
        <v>3999</v>
      </c>
      <c r="I32" s="4">
        <v>0.1</v>
      </c>
      <c r="J32" t="s">
        <v>20</v>
      </c>
      <c r="K32">
        <f t="shared" si="0"/>
        <v>7198.2</v>
      </c>
      <c r="L32">
        <f>_xlfn.XLOOKUP(D32,product_cost!A:A,product_cost!B:B)</f>
        <v>2600</v>
      </c>
      <c r="M32">
        <f t="shared" si="1"/>
        <v>1998.1999999999998</v>
      </c>
      <c r="N32" s="10">
        <f t="shared" si="2"/>
        <v>0.27759717707204579</v>
      </c>
    </row>
    <row r="33" spans="1:14" x14ac:dyDescent="0.25">
      <c r="A33" t="s">
        <v>94</v>
      </c>
      <c r="B33" s="2">
        <v>45706</v>
      </c>
      <c r="C33" t="s">
        <v>35</v>
      </c>
      <c r="D33" t="s">
        <v>50</v>
      </c>
      <c r="E33" t="s">
        <v>24</v>
      </c>
      <c r="F33" t="s">
        <v>25</v>
      </c>
      <c r="G33">
        <v>1</v>
      </c>
      <c r="H33" s="3">
        <v>799</v>
      </c>
      <c r="I33" s="4">
        <v>0.05</v>
      </c>
      <c r="J33" t="s">
        <v>15</v>
      </c>
      <c r="K33">
        <f t="shared" si="0"/>
        <v>759.05</v>
      </c>
      <c r="L33">
        <f>_xlfn.XLOOKUP(D33,product_cost!A:A,product_cost!B:B)</f>
        <v>400</v>
      </c>
      <c r="M33">
        <f t="shared" si="1"/>
        <v>359.04999999999995</v>
      </c>
      <c r="N33" s="10">
        <f t="shared" si="2"/>
        <v>0.47302549239180552</v>
      </c>
    </row>
    <row r="34" spans="1:14" x14ac:dyDescent="0.25">
      <c r="A34" t="s">
        <v>95</v>
      </c>
      <c r="B34" s="2">
        <v>46002</v>
      </c>
      <c r="C34" t="s">
        <v>96</v>
      </c>
      <c r="D34" t="s">
        <v>50</v>
      </c>
      <c r="E34" t="s">
        <v>24</v>
      </c>
      <c r="F34" t="s">
        <v>41</v>
      </c>
      <c r="G34">
        <v>1</v>
      </c>
      <c r="H34" s="3">
        <v>799</v>
      </c>
      <c r="I34" s="4">
        <v>0.05</v>
      </c>
      <c r="J34" t="s">
        <v>15</v>
      </c>
      <c r="K34">
        <f t="shared" si="0"/>
        <v>759.05</v>
      </c>
      <c r="L34">
        <f>_xlfn.XLOOKUP(D34,product_cost!A:A,product_cost!B:B)</f>
        <v>400</v>
      </c>
      <c r="M34">
        <f t="shared" si="1"/>
        <v>359.04999999999995</v>
      </c>
      <c r="N34" s="10">
        <f t="shared" si="2"/>
        <v>0.47302549239180552</v>
      </c>
    </row>
    <row r="35" spans="1:14" x14ac:dyDescent="0.25">
      <c r="A35" t="s">
        <v>97</v>
      </c>
      <c r="B35" s="2">
        <v>45785</v>
      </c>
      <c r="C35" t="s">
        <v>98</v>
      </c>
      <c r="D35" t="s">
        <v>65</v>
      </c>
      <c r="E35" t="s">
        <v>29</v>
      </c>
      <c r="F35" t="s">
        <v>14</v>
      </c>
      <c r="G35">
        <v>2</v>
      </c>
      <c r="H35" s="3">
        <v>1299</v>
      </c>
      <c r="I35" s="4">
        <v>0</v>
      </c>
      <c r="J35" t="s">
        <v>47</v>
      </c>
      <c r="K35">
        <f t="shared" si="0"/>
        <v>2598</v>
      </c>
      <c r="L35">
        <f>_xlfn.XLOOKUP(D35,product_cost!A:A,product_cost!B:B)</f>
        <v>750</v>
      </c>
      <c r="M35">
        <f t="shared" si="1"/>
        <v>1098</v>
      </c>
      <c r="N35" s="10">
        <f t="shared" si="2"/>
        <v>0.42263279445727481</v>
      </c>
    </row>
    <row r="36" spans="1:14" x14ac:dyDescent="0.25">
      <c r="A36" t="s">
        <v>99</v>
      </c>
      <c r="B36" s="2">
        <v>45894</v>
      </c>
      <c r="C36" t="s">
        <v>61</v>
      </c>
      <c r="D36" t="s">
        <v>18</v>
      </c>
      <c r="E36" t="s">
        <v>13</v>
      </c>
      <c r="F36" t="s">
        <v>19</v>
      </c>
      <c r="G36">
        <v>1</v>
      </c>
      <c r="H36" s="3">
        <v>2499</v>
      </c>
      <c r="I36" s="4">
        <v>0.15</v>
      </c>
      <c r="J36" t="s">
        <v>15</v>
      </c>
      <c r="K36">
        <f t="shared" si="0"/>
        <v>2124.15</v>
      </c>
      <c r="L36">
        <f>_xlfn.XLOOKUP(D36,product_cost!A:A,product_cost!B:B)</f>
        <v>1600</v>
      </c>
      <c r="M36">
        <f t="shared" si="1"/>
        <v>524.15000000000009</v>
      </c>
      <c r="N36" s="10">
        <f t="shared" si="2"/>
        <v>0.24675752654002781</v>
      </c>
    </row>
    <row r="37" spans="1:14" x14ac:dyDescent="0.25">
      <c r="A37" t="s">
        <v>100</v>
      </c>
      <c r="B37" s="2">
        <v>45991</v>
      </c>
      <c r="C37" t="s">
        <v>101</v>
      </c>
      <c r="D37" t="s">
        <v>12</v>
      </c>
      <c r="E37" t="s">
        <v>13</v>
      </c>
      <c r="F37" t="s">
        <v>14</v>
      </c>
      <c r="G37">
        <v>4</v>
      </c>
      <c r="H37" s="3">
        <v>1999</v>
      </c>
      <c r="I37" s="4">
        <v>0.15</v>
      </c>
      <c r="J37" t="s">
        <v>20</v>
      </c>
      <c r="K37">
        <f t="shared" si="0"/>
        <v>6796.5999999999995</v>
      </c>
      <c r="L37">
        <f>_xlfn.XLOOKUP(D37,product_cost!A:A,product_cost!B:B)</f>
        <v>1200</v>
      </c>
      <c r="M37">
        <f t="shared" si="1"/>
        <v>1996.5999999999995</v>
      </c>
      <c r="N37" s="10">
        <f t="shared" si="2"/>
        <v>0.29376452932348524</v>
      </c>
    </row>
    <row r="38" spans="1:14" x14ac:dyDescent="0.25">
      <c r="A38" t="s">
        <v>102</v>
      </c>
      <c r="B38" s="2">
        <v>45866</v>
      </c>
      <c r="C38" t="s">
        <v>103</v>
      </c>
      <c r="D38" t="s">
        <v>104</v>
      </c>
      <c r="E38" t="s">
        <v>40</v>
      </c>
      <c r="F38" t="s">
        <v>19</v>
      </c>
      <c r="G38">
        <v>1</v>
      </c>
      <c r="H38" s="3">
        <v>999</v>
      </c>
      <c r="I38" s="4">
        <v>0.05</v>
      </c>
      <c r="J38" t="s">
        <v>20</v>
      </c>
      <c r="K38">
        <f t="shared" si="0"/>
        <v>949.05</v>
      </c>
      <c r="L38">
        <f>_xlfn.XLOOKUP(D38,product_cost!A:A,product_cost!B:B)</f>
        <v>550</v>
      </c>
      <c r="M38">
        <f t="shared" si="1"/>
        <v>399.04999999999995</v>
      </c>
      <c r="N38" s="10">
        <f t="shared" si="2"/>
        <v>0.42047310468363097</v>
      </c>
    </row>
    <row r="39" spans="1:14" x14ac:dyDescent="0.25">
      <c r="A39" t="s">
        <v>105</v>
      </c>
      <c r="B39" s="2">
        <v>45852</v>
      </c>
      <c r="C39" t="s">
        <v>106</v>
      </c>
      <c r="D39" t="s">
        <v>39</v>
      </c>
      <c r="E39" t="s">
        <v>40</v>
      </c>
      <c r="F39" t="s">
        <v>25</v>
      </c>
      <c r="G39">
        <v>1</v>
      </c>
      <c r="H39" s="3">
        <v>2999</v>
      </c>
      <c r="I39" s="4">
        <v>0.1</v>
      </c>
      <c r="J39" t="s">
        <v>47</v>
      </c>
      <c r="K39">
        <f t="shared" si="0"/>
        <v>2699.1</v>
      </c>
      <c r="L39">
        <f>_xlfn.XLOOKUP(D39,product_cost!A:A,product_cost!B:B)</f>
        <v>1800</v>
      </c>
      <c r="M39">
        <f t="shared" si="1"/>
        <v>899.09999999999991</v>
      </c>
      <c r="N39" s="10">
        <f t="shared" si="2"/>
        <v>0.33311103701233741</v>
      </c>
    </row>
    <row r="40" spans="1:14" x14ac:dyDescent="0.25">
      <c r="A40" t="s">
        <v>107</v>
      </c>
      <c r="B40" s="2">
        <v>45874</v>
      </c>
      <c r="C40" t="s">
        <v>108</v>
      </c>
      <c r="D40" t="s">
        <v>62</v>
      </c>
      <c r="E40" t="s">
        <v>24</v>
      </c>
      <c r="F40" t="s">
        <v>25</v>
      </c>
      <c r="G40">
        <v>5</v>
      </c>
      <c r="H40" s="3">
        <v>1499</v>
      </c>
      <c r="I40" s="4">
        <v>0.05</v>
      </c>
      <c r="J40" t="s">
        <v>20</v>
      </c>
      <c r="K40">
        <f t="shared" si="0"/>
        <v>7120.25</v>
      </c>
      <c r="L40">
        <f>_xlfn.XLOOKUP(D40,product_cost!A:A,product_cost!B:B)</f>
        <v>800</v>
      </c>
      <c r="M40">
        <f t="shared" si="1"/>
        <v>3120.25</v>
      </c>
      <c r="N40" s="10">
        <f t="shared" si="2"/>
        <v>0.43822197254309891</v>
      </c>
    </row>
    <row r="41" spans="1:14" x14ac:dyDescent="0.25">
      <c r="A41" t="s">
        <v>109</v>
      </c>
      <c r="B41" s="2">
        <v>45755</v>
      </c>
      <c r="C41" t="s">
        <v>72</v>
      </c>
      <c r="D41" t="s">
        <v>65</v>
      </c>
      <c r="E41" t="s">
        <v>29</v>
      </c>
      <c r="F41" t="s">
        <v>19</v>
      </c>
      <c r="G41">
        <v>4</v>
      </c>
      <c r="H41" s="3">
        <v>1299</v>
      </c>
      <c r="I41" s="4">
        <v>0.05</v>
      </c>
      <c r="J41" t="s">
        <v>47</v>
      </c>
      <c r="K41">
        <f t="shared" si="0"/>
        <v>4936.2</v>
      </c>
      <c r="L41">
        <f>_xlfn.XLOOKUP(D41,product_cost!A:A,product_cost!B:B)</f>
        <v>750</v>
      </c>
      <c r="M41">
        <f t="shared" si="1"/>
        <v>1936.1999999999998</v>
      </c>
      <c r="N41" s="10">
        <f t="shared" si="2"/>
        <v>0.39224504679713135</v>
      </c>
    </row>
    <row r="42" spans="1:14" x14ac:dyDescent="0.25">
      <c r="A42" t="s">
        <v>110</v>
      </c>
      <c r="B42" s="2">
        <v>45687</v>
      </c>
      <c r="C42" t="s">
        <v>111</v>
      </c>
      <c r="D42" t="s">
        <v>23</v>
      </c>
      <c r="E42" t="s">
        <v>24</v>
      </c>
      <c r="F42" t="s">
        <v>14</v>
      </c>
      <c r="G42">
        <v>2</v>
      </c>
      <c r="H42" s="3">
        <v>3999</v>
      </c>
      <c r="I42" s="4">
        <v>0.15</v>
      </c>
      <c r="J42" t="s">
        <v>15</v>
      </c>
      <c r="K42">
        <f t="shared" si="0"/>
        <v>6798.3</v>
      </c>
      <c r="L42">
        <f>_xlfn.XLOOKUP(D42,product_cost!A:A,product_cost!B:B)</f>
        <v>2600</v>
      </c>
      <c r="M42">
        <f t="shared" si="1"/>
        <v>1598.3000000000002</v>
      </c>
      <c r="N42" s="10">
        <f t="shared" si="2"/>
        <v>0.23510289337040144</v>
      </c>
    </row>
    <row r="43" spans="1:14" x14ac:dyDescent="0.25">
      <c r="A43" t="s">
        <v>112</v>
      </c>
      <c r="B43" s="2">
        <v>45918</v>
      </c>
      <c r="C43" t="s">
        <v>113</v>
      </c>
      <c r="D43" t="s">
        <v>33</v>
      </c>
      <c r="E43" t="s">
        <v>13</v>
      </c>
      <c r="F43" t="s">
        <v>14</v>
      </c>
      <c r="G43">
        <v>1</v>
      </c>
      <c r="H43" s="3">
        <v>3499</v>
      </c>
      <c r="I43" s="4">
        <v>0</v>
      </c>
      <c r="J43" t="s">
        <v>30</v>
      </c>
      <c r="K43">
        <f t="shared" si="0"/>
        <v>3499</v>
      </c>
      <c r="L43">
        <f>_xlfn.XLOOKUP(D43,product_cost!A:A,product_cost!B:B)</f>
        <v>2300</v>
      </c>
      <c r="M43">
        <f t="shared" si="1"/>
        <v>1199</v>
      </c>
      <c r="N43" s="10">
        <f t="shared" si="2"/>
        <v>0.34266933409545586</v>
      </c>
    </row>
    <row r="44" spans="1:14" x14ac:dyDescent="0.25">
      <c r="A44" t="s">
        <v>114</v>
      </c>
      <c r="B44" s="2">
        <v>45719</v>
      </c>
      <c r="C44" t="s">
        <v>115</v>
      </c>
      <c r="D44" t="s">
        <v>65</v>
      </c>
      <c r="E44" t="s">
        <v>29</v>
      </c>
      <c r="F44" t="s">
        <v>19</v>
      </c>
      <c r="G44">
        <v>2</v>
      </c>
      <c r="H44" s="3">
        <v>1299</v>
      </c>
      <c r="I44" s="4">
        <v>0</v>
      </c>
      <c r="J44" t="s">
        <v>30</v>
      </c>
      <c r="K44">
        <f t="shared" si="0"/>
        <v>2598</v>
      </c>
      <c r="L44">
        <f>_xlfn.XLOOKUP(D44,product_cost!A:A,product_cost!B:B)</f>
        <v>750</v>
      </c>
      <c r="M44">
        <f t="shared" si="1"/>
        <v>1098</v>
      </c>
      <c r="N44" s="10">
        <f t="shared" si="2"/>
        <v>0.42263279445727481</v>
      </c>
    </row>
    <row r="45" spans="1:14" x14ac:dyDescent="0.25">
      <c r="A45" t="s">
        <v>116</v>
      </c>
      <c r="B45" s="2">
        <v>45994</v>
      </c>
      <c r="C45" t="s">
        <v>117</v>
      </c>
      <c r="D45" t="s">
        <v>23</v>
      </c>
      <c r="E45" t="s">
        <v>24</v>
      </c>
      <c r="F45" t="s">
        <v>14</v>
      </c>
      <c r="G45">
        <v>2</v>
      </c>
      <c r="H45" s="3">
        <v>3999</v>
      </c>
      <c r="I45" s="4">
        <v>0.15</v>
      </c>
      <c r="J45" t="s">
        <v>47</v>
      </c>
      <c r="K45">
        <f t="shared" si="0"/>
        <v>6798.3</v>
      </c>
      <c r="L45">
        <f>_xlfn.XLOOKUP(D45,product_cost!A:A,product_cost!B:B)</f>
        <v>2600</v>
      </c>
      <c r="M45">
        <f t="shared" si="1"/>
        <v>1598.3000000000002</v>
      </c>
      <c r="N45" s="10">
        <f t="shared" si="2"/>
        <v>0.23510289337040144</v>
      </c>
    </row>
    <row r="46" spans="1:14" x14ac:dyDescent="0.25">
      <c r="A46" t="s">
        <v>118</v>
      </c>
      <c r="B46" s="2">
        <v>45780</v>
      </c>
      <c r="C46" t="s">
        <v>119</v>
      </c>
      <c r="D46" t="s">
        <v>39</v>
      </c>
      <c r="E46" t="s">
        <v>40</v>
      </c>
      <c r="F46" t="s">
        <v>25</v>
      </c>
      <c r="G46">
        <v>1</v>
      </c>
      <c r="H46" s="3">
        <v>2999</v>
      </c>
      <c r="I46" s="4">
        <v>0.1</v>
      </c>
      <c r="J46" t="s">
        <v>47</v>
      </c>
      <c r="K46">
        <f t="shared" si="0"/>
        <v>2699.1</v>
      </c>
      <c r="L46">
        <f>_xlfn.XLOOKUP(D46,product_cost!A:A,product_cost!B:B)</f>
        <v>1800</v>
      </c>
      <c r="M46">
        <f t="shared" si="1"/>
        <v>899.09999999999991</v>
      </c>
      <c r="N46" s="10">
        <f t="shared" si="2"/>
        <v>0.33311103701233741</v>
      </c>
    </row>
    <row r="47" spans="1:14" x14ac:dyDescent="0.25">
      <c r="A47" t="s">
        <v>120</v>
      </c>
      <c r="B47" s="2">
        <v>45695</v>
      </c>
      <c r="C47" t="s">
        <v>121</v>
      </c>
      <c r="D47" t="s">
        <v>104</v>
      </c>
      <c r="E47" t="s">
        <v>40</v>
      </c>
      <c r="F47" t="s">
        <v>19</v>
      </c>
      <c r="G47">
        <v>2</v>
      </c>
      <c r="H47" s="3">
        <v>999</v>
      </c>
      <c r="I47" s="4">
        <v>0.05</v>
      </c>
      <c r="J47" t="s">
        <v>15</v>
      </c>
      <c r="K47">
        <f t="shared" si="0"/>
        <v>1898.1</v>
      </c>
      <c r="L47">
        <f>_xlfn.XLOOKUP(D47,product_cost!A:A,product_cost!B:B)</f>
        <v>550</v>
      </c>
      <c r="M47">
        <f t="shared" si="1"/>
        <v>798.09999999999991</v>
      </c>
      <c r="N47" s="10">
        <f t="shared" si="2"/>
        <v>0.42047310468363097</v>
      </c>
    </row>
    <row r="48" spans="1:14" x14ac:dyDescent="0.25">
      <c r="A48" t="s">
        <v>122</v>
      </c>
      <c r="B48" s="2">
        <v>45933</v>
      </c>
      <c r="C48" t="s">
        <v>123</v>
      </c>
      <c r="D48" t="s">
        <v>53</v>
      </c>
      <c r="E48" t="s">
        <v>40</v>
      </c>
      <c r="F48" t="s">
        <v>19</v>
      </c>
      <c r="G48">
        <v>1</v>
      </c>
      <c r="H48" s="3">
        <v>1799</v>
      </c>
      <c r="I48" s="4">
        <v>0.15</v>
      </c>
      <c r="J48" t="s">
        <v>20</v>
      </c>
      <c r="K48">
        <f t="shared" si="0"/>
        <v>1529.1499999999999</v>
      </c>
      <c r="L48">
        <f>_xlfn.XLOOKUP(D48,product_cost!A:A,product_cost!B:B)</f>
        <v>1000</v>
      </c>
      <c r="M48">
        <f t="shared" si="1"/>
        <v>529.14999999999986</v>
      </c>
      <c r="N48" s="10">
        <f t="shared" si="2"/>
        <v>0.34604191871301043</v>
      </c>
    </row>
    <row r="49" spans="1:14" x14ac:dyDescent="0.25">
      <c r="A49" t="s">
        <v>124</v>
      </c>
      <c r="B49" s="2">
        <v>45847</v>
      </c>
      <c r="C49" t="s">
        <v>125</v>
      </c>
      <c r="D49" t="s">
        <v>33</v>
      </c>
      <c r="E49" t="s">
        <v>13</v>
      </c>
      <c r="F49" t="s">
        <v>41</v>
      </c>
      <c r="G49">
        <v>1</v>
      </c>
      <c r="H49" s="3">
        <v>3499</v>
      </c>
      <c r="I49" s="4">
        <v>0.05</v>
      </c>
      <c r="J49" t="s">
        <v>42</v>
      </c>
      <c r="K49">
        <f t="shared" si="0"/>
        <v>3324.0499999999997</v>
      </c>
      <c r="L49">
        <f>_xlfn.XLOOKUP(D49,product_cost!A:A,product_cost!B:B)</f>
        <v>2300</v>
      </c>
      <c r="M49">
        <f t="shared" si="1"/>
        <v>1024.0499999999997</v>
      </c>
      <c r="N49" s="10">
        <f t="shared" si="2"/>
        <v>0.30807298325837451</v>
      </c>
    </row>
    <row r="50" spans="1:14" x14ac:dyDescent="0.25">
      <c r="A50" t="s">
        <v>126</v>
      </c>
      <c r="B50" s="2">
        <v>45992</v>
      </c>
      <c r="C50" t="s">
        <v>127</v>
      </c>
      <c r="D50" t="s">
        <v>12</v>
      </c>
      <c r="E50" t="s">
        <v>13</v>
      </c>
      <c r="F50" t="s">
        <v>19</v>
      </c>
      <c r="G50">
        <v>2</v>
      </c>
      <c r="H50" s="3">
        <v>1999</v>
      </c>
      <c r="I50" s="4">
        <v>0.05</v>
      </c>
      <c r="J50" t="s">
        <v>20</v>
      </c>
      <c r="K50">
        <f t="shared" si="0"/>
        <v>3798.1</v>
      </c>
      <c r="L50">
        <f>_xlfn.XLOOKUP(D50,product_cost!A:A,product_cost!B:B)</f>
        <v>1200</v>
      </c>
      <c r="M50">
        <f t="shared" si="1"/>
        <v>1398.1</v>
      </c>
      <c r="N50" s="10">
        <f t="shared" si="2"/>
        <v>0.368105105184171</v>
      </c>
    </row>
    <row r="51" spans="1:14" x14ac:dyDescent="0.25">
      <c r="A51" t="s">
        <v>128</v>
      </c>
      <c r="B51" s="2">
        <v>45793</v>
      </c>
      <c r="C51" t="s">
        <v>129</v>
      </c>
      <c r="D51" t="s">
        <v>18</v>
      </c>
      <c r="E51" t="s">
        <v>13</v>
      </c>
      <c r="F51" t="s">
        <v>41</v>
      </c>
      <c r="G51">
        <v>2</v>
      </c>
      <c r="H51" s="3">
        <v>2499</v>
      </c>
      <c r="I51" s="4">
        <v>0</v>
      </c>
      <c r="J51" t="s">
        <v>42</v>
      </c>
      <c r="K51">
        <f t="shared" si="0"/>
        <v>4998</v>
      </c>
      <c r="L51">
        <f>_xlfn.XLOOKUP(D51,product_cost!A:A,product_cost!B:B)</f>
        <v>1600</v>
      </c>
      <c r="M51">
        <f t="shared" si="1"/>
        <v>1798</v>
      </c>
      <c r="N51" s="10">
        <f t="shared" si="2"/>
        <v>0.35974389755902358</v>
      </c>
    </row>
    <row r="52" spans="1:14" x14ac:dyDescent="0.25">
      <c r="A52" t="s">
        <v>130</v>
      </c>
      <c r="B52" s="2">
        <v>45765</v>
      </c>
      <c r="C52" t="s">
        <v>131</v>
      </c>
      <c r="D52" t="s">
        <v>65</v>
      </c>
      <c r="E52" t="s">
        <v>29</v>
      </c>
      <c r="F52" t="s">
        <v>25</v>
      </c>
      <c r="G52">
        <v>2</v>
      </c>
      <c r="H52" s="3">
        <v>1299</v>
      </c>
      <c r="I52" s="4">
        <v>0.15</v>
      </c>
      <c r="J52" t="s">
        <v>47</v>
      </c>
      <c r="K52">
        <f t="shared" si="0"/>
        <v>2208.2999999999997</v>
      </c>
      <c r="L52">
        <f>_xlfn.XLOOKUP(D52,product_cost!A:A,product_cost!B:B)</f>
        <v>750</v>
      </c>
      <c r="M52">
        <f t="shared" si="1"/>
        <v>708.29999999999973</v>
      </c>
      <c r="N52" s="10">
        <f t="shared" si="2"/>
        <v>0.32074446406738205</v>
      </c>
    </row>
    <row r="53" spans="1:14" x14ac:dyDescent="0.25">
      <c r="A53" t="s">
        <v>132</v>
      </c>
      <c r="B53" s="2">
        <v>45684</v>
      </c>
      <c r="C53" t="s">
        <v>133</v>
      </c>
      <c r="D53" t="s">
        <v>50</v>
      </c>
      <c r="E53" t="s">
        <v>24</v>
      </c>
      <c r="F53" t="s">
        <v>19</v>
      </c>
      <c r="G53">
        <v>1</v>
      </c>
      <c r="H53" s="3">
        <v>799</v>
      </c>
      <c r="I53" s="4">
        <v>0</v>
      </c>
      <c r="J53" t="s">
        <v>47</v>
      </c>
      <c r="K53">
        <f t="shared" si="0"/>
        <v>799</v>
      </c>
      <c r="L53">
        <f>_xlfn.XLOOKUP(D53,product_cost!A:A,product_cost!B:B)</f>
        <v>400</v>
      </c>
      <c r="M53">
        <f t="shared" si="1"/>
        <v>399</v>
      </c>
      <c r="N53" s="10">
        <f t="shared" si="2"/>
        <v>0.49937421777221525</v>
      </c>
    </row>
    <row r="54" spans="1:14" x14ac:dyDescent="0.25">
      <c r="A54" t="s">
        <v>134</v>
      </c>
      <c r="B54" s="2">
        <v>45724</v>
      </c>
      <c r="C54" t="s">
        <v>135</v>
      </c>
      <c r="D54" t="s">
        <v>28</v>
      </c>
      <c r="E54" t="s">
        <v>29</v>
      </c>
      <c r="F54" t="s">
        <v>25</v>
      </c>
      <c r="G54">
        <v>1</v>
      </c>
      <c r="H54" s="3">
        <v>599</v>
      </c>
      <c r="I54" s="4">
        <v>0.05</v>
      </c>
      <c r="J54" t="s">
        <v>42</v>
      </c>
      <c r="K54">
        <f t="shared" si="0"/>
        <v>569.04999999999995</v>
      </c>
      <c r="L54">
        <f>_xlfn.XLOOKUP(D54,product_cost!A:A,product_cost!B:B)</f>
        <v>300</v>
      </c>
      <c r="M54">
        <f t="shared" si="1"/>
        <v>269.04999999999995</v>
      </c>
      <c r="N54" s="10">
        <f t="shared" si="2"/>
        <v>0.47280555311484046</v>
      </c>
    </row>
    <row r="55" spans="1:14" x14ac:dyDescent="0.25">
      <c r="A55" t="s">
        <v>136</v>
      </c>
      <c r="B55" s="2">
        <v>45662</v>
      </c>
      <c r="C55" t="s">
        <v>11</v>
      </c>
      <c r="D55" t="s">
        <v>18</v>
      </c>
      <c r="E55" t="s">
        <v>13</v>
      </c>
      <c r="F55" t="s">
        <v>14</v>
      </c>
      <c r="G55">
        <v>4</v>
      </c>
      <c r="H55" s="3">
        <v>2499</v>
      </c>
      <c r="I55" s="4">
        <v>0.1</v>
      </c>
      <c r="J55" t="s">
        <v>42</v>
      </c>
      <c r="K55">
        <f t="shared" si="0"/>
        <v>8996.4</v>
      </c>
      <c r="L55">
        <f>_xlfn.XLOOKUP(D55,product_cost!A:A,product_cost!B:B)</f>
        <v>1600</v>
      </c>
      <c r="M55">
        <f t="shared" si="1"/>
        <v>2596.3999999999996</v>
      </c>
      <c r="N55" s="10">
        <f t="shared" si="2"/>
        <v>0.28860433062113733</v>
      </c>
    </row>
    <row r="56" spans="1:14" x14ac:dyDescent="0.25">
      <c r="A56" t="s">
        <v>137</v>
      </c>
      <c r="B56" s="2">
        <v>45676</v>
      </c>
      <c r="C56" t="s">
        <v>138</v>
      </c>
      <c r="D56" t="s">
        <v>23</v>
      </c>
      <c r="E56" t="s">
        <v>24</v>
      </c>
      <c r="F56" t="s">
        <v>19</v>
      </c>
      <c r="G56">
        <v>2</v>
      </c>
      <c r="H56" s="3">
        <v>3999</v>
      </c>
      <c r="I56" s="4">
        <v>0.05</v>
      </c>
      <c r="J56" t="s">
        <v>47</v>
      </c>
      <c r="K56">
        <f t="shared" si="0"/>
        <v>7598.0999999999995</v>
      </c>
      <c r="L56">
        <f>_xlfn.XLOOKUP(D56,product_cost!A:A,product_cost!B:B)</f>
        <v>2600</v>
      </c>
      <c r="M56">
        <f t="shared" si="1"/>
        <v>2398.0999999999995</v>
      </c>
      <c r="N56" s="10">
        <f t="shared" si="2"/>
        <v>0.3156183782787802</v>
      </c>
    </row>
    <row r="57" spans="1:14" x14ac:dyDescent="0.25">
      <c r="A57" t="s">
        <v>139</v>
      </c>
      <c r="B57" s="2">
        <v>45844</v>
      </c>
      <c r="C57" t="s">
        <v>140</v>
      </c>
      <c r="D57" t="s">
        <v>36</v>
      </c>
      <c r="E57" t="s">
        <v>29</v>
      </c>
      <c r="F57" t="s">
        <v>19</v>
      </c>
      <c r="G57">
        <v>1</v>
      </c>
      <c r="H57" s="3">
        <v>399</v>
      </c>
      <c r="I57" s="4">
        <v>0</v>
      </c>
      <c r="J57" t="s">
        <v>47</v>
      </c>
      <c r="K57">
        <f t="shared" si="0"/>
        <v>399</v>
      </c>
      <c r="L57">
        <f>_xlfn.XLOOKUP(D57,product_cost!A:A,product_cost!B:B)</f>
        <v>180</v>
      </c>
      <c r="M57">
        <f t="shared" si="1"/>
        <v>219</v>
      </c>
      <c r="N57" s="10">
        <f t="shared" si="2"/>
        <v>0.54887218045112784</v>
      </c>
    </row>
    <row r="58" spans="1:14" x14ac:dyDescent="0.25">
      <c r="A58" t="s">
        <v>141</v>
      </c>
      <c r="B58" s="2">
        <v>45944</v>
      </c>
      <c r="C58" t="s">
        <v>142</v>
      </c>
      <c r="D58" t="s">
        <v>23</v>
      </c>
      <c r="E58" t="s">
        <v>24</v>
      </c>
      <c r="F58" t="s">
        <v>14</v>
      </c>
      <c r="G58">
        <v>2</v>
      </c>
      <c r="H58" s="3">
        <v>3999</v>
      </c>
      <c r="I58" s="4">
        <v>0.15</v>
      </c>
      <c r="J58" t="s">
        <v>20</v>
      </c>
      <c r="K58">
        <f t="shared" si="0"/>
        <v>6798.3</v>
      </c>
      <c r="L58">
        <f>_xlfn.XLOOKUP(D58,product_cost!A:A,product_cost!B:B)</f>
        <v>2600</v>
      </c>
      <c r="M58">
        <f t="shared" si="1"/>
        <v>1598.3000000000002</v>
      </c>
      <c r="N58" s="10">
        <f t="shared" si="2"/>
        <v>0.23510289337040144</v>
      </c>
    </row>
    <row r="59" spans="1:14" x14ac:dyDescent="0.25">
      <c r="A59" t="s">
        <v>143</v>
      </c>
      <c r="B59" s="2">
        <v>45748</v>
      </c>
      <c r="C59" t="s">
        <v>144</v>
      </c>
      <c r="D59" t="s">
        <v>12</v>
      </c>
      <c r="E59" t="s">
        <v>13</v>
      </c>
      <c r="F59" t="s">
        <v>25</v>
      </c>
      <c r="G59">
        <v>1</v>
      </c>
      <c r="H59" s="3">
        <v>1999</v>
      </c>
      <c r="I59" s="4">
        <v>0.15</v>
      </c>
      <c r="J59" t="s">
        <v>20</v>
      </c>
      <c r="K59">
        <f t="shared" si="0"/>
        <v>1699.1499999999999</v>
      </c>
      <c r="L59">
        <f>_xlfn.XLOOKUP(D59,product_cost!A:A,product_cost!B:B)</f>
        <v>1200</v>
      </c>
      <c r="M59">
        <f t="shared" si="1"/>
        <v>499.14999999999986</v>
      </c>
      <c r="N59" s="10">
        <f t="shared" si="2"/>
        <v>0.29376452932348524</v>
      </c>
    </row>
    <row r="60" spans="1:14" x14ac:dyDescent="0.25">
      <c r="A60" t="s">
        <v>145</v>
      </c>
      <c r="B60" s="2">
        <v>45794</v>
      </c>
      <c r="C60" t="s">
        <v>146</v>
      </c>
      <c r="D60" t="s">
        <v>62</v>
      </c>
      <c r="E60" t="s">
        <v>24</v>
      </c>
      <c r="F60" t="s">
        <v>25</v>
      </c>
      <c r="G60">
        <v>1</v>
      </c>
      <c r="H60" s="3">
        <v>1499</v>
      </c>
      <c r="I60" s="4">
        <v>0.15</v>
      </c>
      <c r="J60" t="s">
        <v>20</v>
      </c>
      <c r="K60">
        <f t="shared" si="0"/>
        <v>1274.1499999999999</v>
      </c>
      <c r="L60">
        <f>_xlfn.XLOOKUP(D60,product_cost!A:A,product_cost!B:B)</f>
        <v>800</v>
      </c>
      <c r="M60">
        <f t="shared" si="1"/>
        <v>474.14999999999986</v>
      </c>
      <c r="N60" s="10">
        <f t="shared" si="2"/>
        <v>0.3721304399011105</v>
      </c>
    </row>
    <row r="61" spans="1:14" x14ac:dyDescent="0.25">
      <c r="A61" t="s">
        <v>147</v>
      </c>
      <c r="B61" s="2">
        <v>45760</v>
      </c>
      <c r="C61" t="s">
        <v>148</v>
      </c>
      <c r="D61" t="s">
        <v>36</v>
      </c>
      <c r="E61" t="s">
        <v>29</v>
      </c>
      <c r="F61" t="s">
        <v>14</v>
      </c>
      <c r="G61">
        <v>1</v>
      </c>
      <c r="H61" s="3">
        <v>399</v>
      </c>
      <c r="I61" s="4">
        <v>0.1</v>
      </c>
      <c r="J61" t="s">
        <v>20</v>
      </c>
      <c r="K61">
        <f t="shared" si="0"/>
        <v>359.1</v>
      </c>
      <c r="L61">
        <f>_xlfn.XLOOKUP(D61,product_cost!A:A,product_cost!B:B)</f>
        <v>180</v>
      </c>
      <c r="M61">
        <f t="shared" si="1"/>
        <v>179.10000000000002</v>
      </c>
      <c r="N61" s="10">
        <f t="shared" si="2"/>
        <v>0.49874686716791983</v>
      </c>
    </row>
    <row r="62" spans="1:14" x14ac:dyDescent="0.25">
      <c r="A62" t="s">
        <v>149</v>
      </c>
      <c r="B62" s="2">
        <v>45670</v>
      </c>
      <c r="C62" t="s">
        <v>150</v>
      </c>
      <c r="D62" t="s">
        <v>65</v>
      </c>
      <c r="E62" t="s">
        <v>29</v>
      </c>
      <c r="F62" t="s">
        <v>19</v>
      </c>
      <c r="G62">
        <v>1</v>
      </c>
      <c r="H62" s="3">
        <v>1299</v>
      </c>
      <c r="I62" s="4">
        <v>0</v>
      </c>
      <c r="J62" t="s">
        <v>47</v>
      </c>
      <c r="K62">
        <f t="shared" si="0"/>
        <v>1299</v>
      </c>
      <c r="L62">
        <f>_xlfn.XLOOKUP(D62,product_cost!A:A,product_cost!B:B)</f>
        <v>750</v>
      </c>
      <c r="M62">
        <f t="shared" si="1"/>
        <v>549</v>
      </c>
      <c r="N62" s="10">
        <f t="shared" si="2"/>
        <v>0.42263279445727481</v>
      </c>
    </row>
    <row r="63" spans="1:14" x14ac:dyDescent="0.25">
      <c r="A63" t="s">
        <v>151</v>
      </c>
      <c r="B63" s="2">
        <v>45837</v>
      </c>
      <c r="C63" t="s">
        <v>152</v>
      </c>
      <c r="D63" t="s">
        <v>53</v>
      </c>
      <c r="E63" t="s">
        <v>40</v>
      </c>
      <c r="F63" t="s">
        <v>41</v>
      </c>
      <c r="G63">
        <v>1</v>
      </c>
      <c r="H63" s="3">
        <v>1799</v>
      </c>
      <c r="I63" s="4">
        <v>0.2</v>
      </c>
      <c r="J63" t="s">
        <v>15</v>
      </c>
      <c r="K63">
        <f t="shared" si="0"/>
        <v>1439.2</v>
      </c>
      <c r="L63">
        <f>_xlfn.XLOOKUP(D63,product_cost!A:A,product_cost!B:B)</f>
        <v>1000</v>
      </c>
      <c r="M63">
        <f t="shared" si="1"/>
        <v>439.20000000000005</v>
      </c>
      <c r="N63" s="10">
        <f t="shared" si="2"/>
        <v>0.30516953863257368</v>
      </c>
    </row>
    <row r="64" spans="1:14" x14ac:dyDescent="0.25">
      <c r="A64" t="s">
        <v>153</v>
      </c>
      <c r="B64" s="2">
        <v>45717</v>
      </c>
      <c r="C64" t="s">
        <v>154</v>
      </c>
      <c r="D64" t="s">
        <v>33</v>
      </c>
      <c r="E64" t="s">
        <v>13</v>
      </c>
      <c r="F64" t="s">
        <v>19</v>
      </c>
      <c r="G64">
        <v>2</v>
      </c>
      <c r="H64" s="3">
        <v>3499</v>
      </c>
      <c r="I64" s="4">
        <v>0.2</v>
      </c>
      <c r="J64" t="s">
        <v>15</v>
      </c>
      <c r="K64">
        <f t="shared" si="0"/>
        <v>5598.4000000000005</v>
      </c>
      <c r="L64">
        <f>_xlfn.XLOOKUP(D64,product_cost!A:A,product_cost!B:B)</f>
        <v>2300</v>
      </c>
      <c r="M64">
        <f t="shared" si="1"/>
        <v>998.40000000000055</v>
      </c>
      <c r="N64" s="10">
        <f t="shared" si="2"/>
        <v>0.17833666761931988</v>
      </c>
    </row>
    <row r="65" spans="1:14" x14ac:dyDescent="0.25">
      <c r="A65" t="s">
        <v>155</v>
      </c>
      <c r="B65" s="2">
        <v>45963</v>
      </c>
      <c r="C65" t="s">
        <v>156</v>
      </c>
      <c r="D65" t="s">
        <v>36</v>
      </c>
      <c r="E65" t="s">
        <v>29</v>
      </c>
      <c r="F65" t="s">
        <v>19</v>
      </c>
      <c r="G65">
        <v>2</v>
      </c>
      <c r="H65" s="3">
        <v>399</v>
      </c>
      <c r="I65" s="4">
        <v>0</v>
      </c>
      <c r="J65" t="s">
        <v>30</v>
      </c>
      <c r="K65">
        <f t="shared" si="0"/>
        <v>798</v>
      </c>
      <c r="L65">
        <f>_xlfn.XLOOKUP(D65,product_cost!A:A,product_cost!B:B)</f>
        <v>180</v>
      </c>
      <c r="M65">
        <f t="shared" si="1"/>
        <v>438</v>
      </c>
      <c r="N65" s="10">
        <f t="shared" si="2"/>
        <v>0.54887218045112784</v>
      </c>
    </row>
    <row r="66" spans="1:14" x14ac:dyDescent="0.25">
      <c r="A66" t="s">
        <v>157</v>
      </c>
      <c r="B66" s="2">
        <v>45953</v>
      </c>
      <c r="C66" t="s">
        <v>158</v>
      </c>
      <c r="D66" t="s">
        <v>28</v>
      </c>
      <c r="E66" t="s">
        <v>29</v>
      </c>
      <c r="F66" t="s">
        <v>14</v>
      </c>
      <c r="G66">
        <v>1</v>
      </c>
      <c r="H66" s="3">
        <v>599</v>
      </c>
      <c r="I66" s="4">
        <v>0.05</v>
      </c>
      <c r="J66" t="s">
        <v>47</v>
      </c>
      <c r="K66">
        <f t="shared" ref="K66:K129" si="3">G66*H66*(1-I66)</f>
        <v>569.04999999999995</v>
      </c>
      <c r="L66">
        <f>_xlfn.XLOOKUP(D66,product_cost!A:A,product_cost!B:B)</f>
        <v>300</v>
      </c>
      <c r="M66">
        <f t="shared" ref="M66:M129" si="4">K66-(G66*L66)</f>
        <v>269.04999999999995</v>
      </c>
      <c r="N66" s="10">
        <f t="shared" ref="N66:N129" si="5">M66/K66</f>
        <v>0.47280555311484046</v>
      </c>
    </row>
    <row r="67" spans="1:14" x14ac:dyDescent="0.25">
      <c r="A67" t="s">
        <v>159</v>
      </c>
      <c r="B67" s="2">
        <v>45878</v>
      </c>
      <c r="C67" t="s">
        <v>44</v>
      </c>
      <c r="D67" t="s">
        <v>50</v>
      </c>
      <c r="E67" t="s">
        <v>24</v>
      </c>
      <c r="F67" t="s">
        <v>19</v>
      </c>
      <c r="G67">
        <v>4</v>
      </c>
      <c r="H67" s="3">
        <v>799</v>
      </c>
      <c r="I67" s="4">
        <v>0.1</v>
      </c>
      <c r="J67" t="s">
        <v>47</v>
      </c>
      <c r="K67">
        <f t="shared" si="3"/>
        <v>2876.4</v>
      </c>
      <c r="L67">
        <f>_xlfn.XLOOKUP(D67,product_cost!A:A,product_cost!B:B)</f>
        <v>400</v>
      </c>
      <c r="M67">
        <f t="shared" si="4"/>
        <v>1276.4000000000001</v>
      </c>
      <c r="N67" s="10">
        <f t="shared" si="5"/>
        <v>0.44374913085801698</v>
      </c>
    </row>
    <row r="68" spans="1:14" x14ac:dyDescent="0.25">
      <c r="A68" t="s">
        <v>160</v>
      </c>
      <c r="B68" s="2">
        <v>45917</v>
      </c>
      <c r="C68" t="s">
        <v>161</v>
      </c>
      <c r="D68" t="s">
        <v>50</v>
      </c>
      <c r="E68" t="s">
        <v>24</v>
      </c>
      <c r="F68" t="s">
        <v>41</v>
      </c>
      <c r="G68">
        <v>1</v>
      </c>
      <c r="H68" s="3">
        <v>799</v>
      </c>
      <c r="I68" s="4">
        <v>0.05</v>
      </c>
      <c r="J68" t="s">
        <v>42</v>
      </c>
      <c r="K68">
        <f t="shared" si="3"/>
        <v>759.05</v>
      </c>
      <c r="L68">
        <f>_xlfn.XLOOKUP(D68,product_cost!A:A,product_cost!B:B)</f>
        <v>400</v>
      </c>
      <c r="M68">
        <f t="shared" si="4"/>
        <v>359.04999999999995</v>
      </c>
      <c r="N68" s="10">
        <f t="shared" si="5"/>
        <v>0.47302549239180552</v>
      </c>
    </row>
    <row r="69" spans="1:14" x14ac:dyDescent="0.25">
      <c r="A69" t="s">
        <v>162</v>
      </c>
      <c r="B69" s="2">
        <v>45723</v>
      </c>
      <c r="C69" t="s">
        <v>98</v>
      </c>
      <c r="D69" t="s">
        <v>39</v>
      </c>
      <c r="E69" t="s">
        <v>40</v>
      </c>
      <c r="F69" t="s">
        <v>14</v>
      </c>
      <c r="G69">
        <v>2</v>
      </c>
      <c r="H69" s="3">
        <v>2999</v>
      </c>
      <c r="I69" s="4">
        <v>0.05</v>
      </c>
      <c r="J69" t="s">
        <v>42</v>
      </c>
      <c r="K69">
        <f t="shared" si="3"/>
        <v>5698.0999999999995</v>
      </c>
      <c r="L69">
        <f>_xlfn.XLOOKUP(D69,product_cost!A:A,product_cost!B:B)</f>
        <v>1800</v>
      </c>
      <c r="M69">
        <f t="shared" si="4"/>
        <v>2098.0999999999995</v>
      </c>
      <c r="N69" s="10">
        <f t="shared" si="5"/>
        <v>0.36821045611695119</v>
      </c>
    </row>
    <row r="70" spans="1:14" x14ac:dyDescent="0.25">
      <c r="A70" t="s">
        <v>163</v>
      </c>
      <c r="B70" s="2">
        <v>45949</v>
      </c>
      <c r="C70" t="s">
        <v>164</v>
      </c>
      <c r="D70" t="s">
        <v>39</v>
      </c>
      <c r="E70" t="s">
        <v>40</v>
      </c>
      <c r="F70" t="s">
        <v>41</v>
      </c>
      <c r="G70">
        <v>2</v>
      </c>
      <c r="H70" s="3">
        <v>2999</v>
      </c>
      <c r="I70" s="4">
        <v>0</v>
      </c>
      <c r="J70" t="s">
        <v>20</v>
      </c>
      <c r="K70">
        <f t="shared" si="3"/>
        <v>5998</v>
      </c>
      <c r="L70">
        <f>_xlfn.XLOOKUP(D70,product_cost!A:A,product_cost!B:B)</f>
        <v>1800</v>
      </c>
      <c r="M70">
        <f t="shared" si="4"/>
        <v>2398</v>
      </c>
      <c r="N70" s="10">
        <f t="shared" si="5"/>
        <v>0.39979993331110369</v>
      </c>
    </row>
    <row r="71" spans="1:14" x14ac:dyDescent="0.25">
      <c r="A71" t="s">
        <v>165</v>
      </c>
      <c r="B71" s="2">
        <v>45878</v>
      </c>
      <c r="C71" t="s">
        <v>166</v>
      </c>
      <c r="D71" t="s">
        <v>23</v>
      </c>
      <c r="E71" t="s">
        <v>24</v>
      </c>
      <c r="F71" t="s">
        <v>25</v>
      </c>
      <c r="G71">
        <v>2</v>
      </c>
      <c r="H71" s="3">
        <v>3999</v>
      </c>
      <c r="I71" s="4">
        <v>0.05</v>
      </c>
      <c r="J71" t="s">
        <v>20</v>
      </c>
      <c r="K71">
        <f t="shared" si="3"/>
        <v>7598.0999999999995</v>
      </c>
      <c r="L71">
        <f>_xlfn.XLOOKUP(D71,product_cost!A:A,product_cost!B:B)</f>
        <v>2600</v>
      </c>
      <c r="M71">
        <f t="shared" si="4"/>
        <v>2398.0999999999995</v>
      </c>
      <c r="N71" s="10">
        <f t="shared" si="5"/>
        <v>0.3156183782787802</v>
      </c>
    </row>
    <row r="72" spans="1:14" x14ac:dyDescent="0.25">
      <c r="A72" t="s">
        <v>167</v>
      </c>
      <c r="B72" s="2">
        <v>45919</v>
      </c>
      <c r="C72" t="s">
        <v>168</v>
      </c>
      <c r="D72" t="s">
        <v>62</v>
      </c>
      <c r="E72" t="s">
        <v>24</v>
      </c>
      <c r="F72" t="s">
        <v>41</v>
      </c>
      <c r="G72">
        <v>1</v>
      </c>
      <c r="H72" s="3">
        <v>1499</v>
      </c>
      <c r="I72" s="4">
        <v>0</v>
      </c>
      <c r="J72" t="s">
        <v>15</v>
      </c>
      <c r="K72">
        <f t="shared" si="3"/>
        <v>1499</v>
      </c>
      <c r="L72">
        <f>_xlfn.XLOOKUP(D72,product_cost!A:A,product_cost!B:B)</f>
        <v>800</v>
      </c>
      <c r="M72">
        <f t="shared" si="4"/>
        <v>699</v>
      </c>
      <c r="N72" s="10">
        <f t="shared" si="5"/>
        <v>0.46631087391594395</v>
      </c>
    </row>
    <row r="73" spans="1:14" x14ac:dyDescent="0.25">
      <c r="A73" t="s">
        <v>169</v>
      </c>
      <c r="B73" s="2">
        <v>45778</v>
      </c>
      <c r="C73" t="s">
        <v>170</v>
      </c>
      <c r="D73" t="s">
        <v>28</v>
      </c>
      <c r="E73" t="s">
        <v>29</v>
      </c>
      <c r="F73" t="s">
        <v>19</v>
      </c>
      <c r="G73">
        <v>1</v>
      </c>
      <c r="H73" s="3">
        <v>599</v>
      </c>
      <c r="I73" s="4">
        <v>0</v>
      </c>
      <c r="J73" t="s">
        <v>15</v>
      </c>
      <c r="K73">
        <f t="shared" si="3"/>
        <v>599</v>
      </c>
      <c r="L73">
        <f>_xlfn.XLOOKUP(D73,product_cost!A:A,product_cost!B:B)</f>
        <v>300</v>
      </c>
      <c r="M73">
        <f t="shared" si="4"/>
        <v>299</v>
      </c>
      <c r="N73" s="10">
        <f t="shared" si="5"/>
        <v>0.4991652754590985</v>
      </c>
    </row>
    <row r="74" spans="1:14" x14ac:dyDescent="0.25">
      <c r="A74" t="s">
        <v>171</v>
      </c>
      <c r="B74" s="2">
        <v>45783</v>
      </c>
      <c r="C74" t="s">
        <v>168</v>
      </c>
      <c r="D74" t="s">
        <v>23</v>
      </c>
      <c r="E74" t="s">
        <v>24</v>
      </c>
      <c r="F74" t="s">
        <v>25</v>
      </c>
      <c r="G74">
        <v>3</v>
      </c>
      <c r="H74" s="3">
        <v>3999</v>
      </c>
      <c r="I74" s="4">
        <v>0</v>
      </c>
      <c r="J74" t="s">
        <v>42</v>
      </c>
      <c r="K74">
        <f t="shared" si="3"/>
        <v>11997</v>
      </c>
      <c r="L74">
        <f>_xlfn.XLOOKUP(D74,product_cost!A:A,product_cost!B:B)</f>
        <v>2600</v>
      </c>
      <c r="M74">
        <f t="shared" si="4"/>
        <v>4197</v>
      </c>
      <c r="N74" s="10">
        <f t="shared" si="5"/>
        <v>0.34983745936484123</v>
      </c>
    </row>
    <row r="75" spans="1:14" x14ac:dyDescent="0.25">
      <c r="A75" t="s">
        <v>172</v>
      </c>
      <c r="B75" s="2">
        <v>45757</v>
      </c>
      <c r="C75" t="s">
        <v>108</v>
      </c>
      <c r="D75" t="s">
        <v>39</v>
      </c>
      <c r="E75" t="s">
        <v>40</v>
      </c>
      <c r="F75" t="s">
        <v>19</v>
      </c>
      <c r="G75">
        <v>2</v>
      </c>
      <c r="H75" s="3">
        <v>2999</v>
      </c>
      <c r="I75" s="4">
        <v>0</v>
      </c>
      <c r="J75" t="s">
        <v>15</v>
      </c>
      <c r="K75">
        <f t="shared" si="3"/>
        <v>5998</v>
      </c>
      <c r="L75">
        <f>_xlfn.XLOOKUP(D75,product_cost!A:A,product_cost!B:B)</f>
        <v>1800</v>
      </c>
      <c r="M75">
        <f t="shared" si="4"/>
        <v>2398</v>
      </c>
      <c r="N75" s="10">
        <f t="shared" si="5"/>
        <v>0.39979993331110369</v>
      </c>
    </row>
    <row r="76" spans="1:14" x14ac:dyDescent="0.25">
      <c r="A76" t="s">
        <v>173</v>
      </c>
      <c r="B76" s="2">
        <v>45875</v>
      </c>
      <c r="C76" t="s">
        <v>174</v>
      </c>
      <c r="D76" t="s">
        <v>33</v>
      </c>
      <c r="E76" t="s">
        <v>13</v>
      </c>
      <c r="F76" t="s">
        <v>25</v>
      </c>
      <c r="G76">
        <v>3</v>
      </c>
      <c r="H76" s="3">
        <v>3499</v>
      </c>
      <c r="I76" s="4">
        <v>0.1</v>
      </c>
      <c r="J76" t="s">
        <v>15</v>
      </c>
      <c r="K76">
        <f t="shared" si="3"/>
        <v>9447.3000000000011</v>
      </c>
      <c r="L76">
        <f>_xlfn.XLOOKUP(D76,product_cost!A:A,product_cost!B:B)</f>
        <v>2300</v>
      </c>
      <c r="M76">
        <f t="shared" si="4"/>
        <v>2547.3000000000011</v>
      </c>
      <c r="N76" s="10">
        <f t="shared" si="5"/>
        <v>0.26963259343939544</v>
      </c>
    </row>
    <row r="77" spans="1:14" x14ac:dyDescent="0.25">
      <c r="A77" t="s">
        <v>175</v>
      </c>
      <c r="B77" s="2">
        <v>45943</v>
      </c>
      <c r="C77" t="s">
        <v>61</v>
      </c>
      <c r="D77" t="s">
        <v>18</v>
      </c>
      <c r="E77" t="s">
        <v>13</v>
      </c>
      <c r="F77" t="s">
        <v>41</v>
      </c>
      <c r="G77">
        <v>2</v>
      </c>
      <c r="H77" s="3">
        <v>2499</v>
      </c>
      <c r="I77" s="4">
        <v>0.15</v>
      </c>
      <c r="J77" t="s">
        <v>30</v>
      </c>
      <c r="K77">
        <f t="shared" si="3"/>
        <v>4248.3</v>
      </c>
      <c r="L77">
        <f>_xlfn.XLOOKUP(D77,product_cost!A:A,product_cost!B:B)</f>
        <v>1600</v>
      </c>
      <c r="M77">
        <f t="shared" si="4"/>
        <v>1048.3000000000002</v>
      </c>
      <c r="N77" s="10">
        <f t="shared" si="5"/>
        <v>0.24675752654002781</v>
      </c>
    </row>
    <row r="78" spans="1:14" x14ac:dyDescent="0.25">
      <c r="A78" t="s">
        <v>176</v>
      </c>
      <c r="B78" s="2">
        <v>45971</v>
      </c>
      <c r="C78" t="s">
        <v>22</v>
      </c>
      <c r="D78" t="s">
        <v>39</v>
      </c>
      <c r="E78" t="s">
        <v>40</v>
      </c>
      <c r="F78" t="s">
        <v>14</v>
      </c>
      <c r="G78">
        <v>3</v>
      </c>
      <c r="H78" s="3">
        <v>2999</v>
      </c>
      <c r="I78" s="4">
        <v>0.05</v>
      </c>
      <c r="J78" t="s">
        <v>30</v>
      </c>
      <c r="K78">
        <f t="shared" si="3"/>
        <v>8547.15</v>
      </c>
      <c r="L78">
        <f>_xlfn.XLOOKUP(D78,product_cost!A:A,product_cost!B:B)</f>
        <v>1800</v>
      </c>
      <c r="M78">
        <f t="shared" si="4"/>
        <v>3147.1499999999996</v>
      </c>
      <c r="N78" s="10">
        <f t="shared" si="5"/>
        <v>0.36821045611695125</v>
      </c>
    </row>
    <row r="79" spans="1:14" x14ac:dyDescent="0.25">
      <c r="A79" t="s">
        <v>177</v>
      </c>
      <c r="B79" s="2">
        <v>45888</v>
      </c>
      <c r="C79" t="s">
        <v>154</v>
      </c>
      <c r="D79" t="s">
        <v>65</v>
      </c>
      <c r="E79" t="s">
        <v>29</v>
      </c>
      <c r="F79" t="s">
        <v>25</v>
      </c>
      <c r="G79">
        <v>3</v>
      </c>
      <c r="H79" s="3">
        <v>1299</v>
      </c>
      <c r="I79" s="4">
        <v>0</v>
      </c>
      <c r="J79" t="s">
        <v>20</v>
      </c>
      <c r="K79">
        <f t="shared" si="3"/>
        <v>3897</v>
      </c>
      <c r="L79">
        <f>_xlfn.XLOOKUP(D79,product_cost!A:A,product_cost!B:B)</f>
        <v>750</v>
      </c>
      <c r="M79">
        <f t="shared" si="4"/>
        <v>1647</v>
      </c>
      <c r="N79" s="10">
        <f t="shared" si="5"/>
        <v>0.42263279445727481</v>
      </c>
    </row>
    <row r="80" spans="1:14" x14ac:dyDescent="0.25">
      <c r="A80" t="s">
        <v>178</v>
      </c>
      <c r="B80" s="2">
        <v>45798</v>
      </c>
      <c r="C80" t="s">
        <v>179</v>
      </c>
      <c r="D80" t="s">
        <v>18</v>
      </c>
      <c r="E80" t="s">
        <v>13</v>
      </c>
      <c r="F80" t="s">
        <v>41</v>
      </c>
      <c r="G80">
        <v>2</v>
      </c>
      <c r="H80" s="3">
        <v>2499</v>
      </c>
      <c r="I80" s="4">
        <v>0</v>
      </c>
      <c r="J80" t="s">
        <v>47</v>
      </c>
      <c r="K80">
        <f t="shared" si="3"/>
        <v>4998</v>
      </c>
      <c r="L80">
        <f>_xlfn.XLOOKUP(D80,product_cost!A:A,product_cost!B:B)</f>
        <v>1600</v>
      </c>
      <c r="M80">
        <f t="shared" si="4"/>
        <v>1798</v>
      </c>
      <c r="N80" s="10">
        <f t="shared" si="5"/>
        <v>0.35974389755902358</v>
      </c>
    </row>
    <row r="81" spans="1:14" x14ac:dyDescent="0.25">
      <c r="A81" t="s">
        <v>180</v>
      </c>
      <c r="B81" s="2">
        <v>45934</v>
      </c>
      <c r="C81" t="s">
        <v>113</v>
      </c>
      <c r="D81" t="s">
        <v>33</v>
      </c>
      <c r="E81" t="s">
        <v>13</v>
      </c>
      <c r="F81" t="s">
        <v>14</v>
      </c>
      <c r="G81">
        <v>1</v>
      </c>
      <c r="H81" s="3">
        <v>3499</v>
      </c>
      <c r="I81" s="4">
        <v>0.05</v>
      </c>
      <c r="J81" t="s">
        <v>20</v>
      </c>
      <c r="K81">
        <f t="shared" si="3"/>
        <v>3324.0499999999997</v>
      </c>
      <c r="L81">
        <f>_xlfn.XLOOKUP(D81,product_cost!A:A,product_cost!B:B)</f>
        <v>2300</v>
      </c>
      <c r="M81">
        <f t="shared" si="4"/>
        <v>1024.0499999999997</v>
      </c>
      <c r="N81" s="10">
        <f t="shared" si="5"/>
        <v>0.30807298325837451</v>
      </c>
    </row>
    <row r="82" spans="1:14" x14ac:dyDescent="0.25">
      <c r="A82" t="s">
        <v>181</v>
      </c>
      <c r="B82" s="2">
        <v>45690</v>
      </c>
      <c r="C82" t="s">
        <v>182</v>
      </c>
      <c r="D82" t="s">
        <v>39</v>
      </c>
      <c r="E82" t="s">
        <v>40</v>
      </c>
      <c r="F82" t="s">
        <v>19</v>
      </c>
      <c r="G82">
        <v>1</v>
      </c>
      <c r="H82" s="3">
        <v>2999</v>
      </c>
      <c r="I82" s="4">
        <v>0.05</v>
      </c>
      <c r="J82" t="s">
        <v>20</v>
      </c>
      <c r="K82">
        <f t="shared" si="3"/>
        <v>2849.0499999999997</v>
      </c>
      <c r="L82">
        <f>_xlfn.XLOOKUP(D82,product_cost!A:A,product_cost!B:B)</f>
        <v>1800</v>
      </c>
      <c r="M82">
        <f t="shared" si="4"/>
        <v>1049.0499999999997</v>
      </c>
      <c r="N82" s="10">
        <f t="shared" si="5"/>
        <v>0.36821045611695119</v>
      </c>
    </row>
    <row r="83" spans="1:14" x14ac:dyDescent="0.25">
      <c r="A83" t="s">
        <v>183</v>
      </c>
      <c r="B83" s="2">
        <v>45873</v>
      </c>
      <c r="C83" t="s">
        <v>184</v>
      </c>
      <c r="D83" t="s">
        <v>23</v>
      </c>
      <c r="E83" t="s">
        <v>24</v>
      </c>
      <c r="F83" t="s">
        <v>25</v>
      </c>
      <c r="G83">
        <v>4</v>
      </c>
      <c r="H83" s="3">
        <v>3999</v>
      </c>
      <c r="I83" s="4">
        <v>0</v>
      </c>
      <c r="J83" t="s">
        <v>30</v>
      </c>
      <c r="K83">
        <f t="shared" si="3"/>
        <v>15996</v>
      </c>
      <c r="L83">
        <f>_xlfn.XLOOKUP(D83,product_cost!A:A,product_cost!B:B)</f>
        <v>2600</v>
      </c>
      <c r="M83">
        <f t="shared" si="4"/>
        <v>5596</v>
      </c>
      <c r="N83" s="10">
        <f t="shared" si="5"/>
        <v>0.34983745936484123</v>
      </c>
    </row>
    <row r="84" spans="1:14" x14ac:dyDescent="0.25">
      <c r="A84" t="s">
        <v>185</v>
      </c>
      <c r="B84" s="2">
        <v>45661</v>
      </c>
      <c r="C84" t="s">
        <v>186</v>
      </c>
      <c r="D84" t="s">
        <v>28</v>
      </c>
      <c r="E84" t="s">
        <v>29</v>
      </c>
      <c r="F84" t="s">
        <v>25</v>
      </c>
      <c r="G84">
        <v>3</v>
      </c>
      <c r="H84" s="3">
        <v>599</v>
      </c>
      <c r="I84" s="4">
        <v>0.15</v>
      </c>
      <c r="J84" t="s">
        <v>42</v>
      </c>
      <c r="K84">
        <f t="shared" si="3"/>
        <v>1527.45</v>
      </c>
      <c r="L84">
        <f>_xlfn.XLOOKUP(D84,product_cost!A:A,product_cost!B:B)</f>
        <v>300</v>
      </c>
      <c r="M84">
        <f t="shared" si="4"/>
        <v>627.45000000000005</v>
      </c>
      <c r="N84" s="10">
        <f t="shared" si="5"/>
        <v>0.41078267701070414</v>
      </c>
    </row>
    <row r="85" spans="1:14" x14ac:dyDescent="0.25">
      <c r="A85" t="s">
        <v>187</v>
      </c>
      <c r="B85" s="2">
        <v>45937</v>
      </c>
      <c r="C85" t="s">
        <v>188</v>
      </c>
      <c r="D85" t="s">
        <v>65</v>
      </c>
      <c r="E85" t="s">
        <v>29</v>
      </c>
      <c r="F85" t="s">
        <v>25</v>
      </c>
      <c r="G85">
        <v>2</v>
      </c>
      <c r="H85" s="3">
        <v>1299</v>
      </c>
      <c r="I85" s="4">
        <v>0</v>
      </c>
      <c r="J85" t="s">
        <v>15</v>
      </c>
      <c r="K85">
        <f t="shared" si="3"/>
        <v>2598</v>
      </c>
      <c r="L85">
        <f>_xlfn.XLOOKUP(D85,product_cost!A:A,product_cost!B:B)</f>
        <v>750</v>
      </c>
      <c r="M85">
        <f t="shared" si="4"/>
        <v>1098</v>
      </c>
      <c r="N85" s="10">
        <f t="shared" si="5"/>
        <v>0.42263279445727481</v>
      </c>
    </row>
    <row r="86" spans="1:14" x14ac:dyDescent="0.25">
      <c r="A86" t="s">
        <v>189</v>
      </c>
      <c r="B86" s="2">
        <v>45857</v>
      </c>
      <c r="C86" t="s">
        <v>190</v>
      </c>
      <c r="D86" t="s">
        <v>50</v>
      </c>
      <c r="E86" t="s">
        <v>24</v>
      </c>
      <c r="F86" t="s">
        <v>14</v>
      </c>
      <c r="G86">
        <v>2</v>
      </c>
      <c r="H86" s="3">
        <v>799</v>
      </c>
      <c r="I86" s="4">
        <v>0.05</v>
      </c>
      <c r="J86" t="s">
        <v>30</v>
      </c>
      <c r="K86">
        <f t="shared" si="3"/>
        <v>1518.1</v>
      </c>
      <c r="L86">
        <f>_xlfn.XLOOKUP(D86,product_cost!A:A,product_cost!B:B)</f>
        <v>400</v>
      </c>
      <c r="M86">
        <f t="shared" si="4"/>
        <v>718.09999999999991</v>
      </c>
      <c r="N86" s="10">
        <f t="shared" si="5"/>
        <v>0.47302549239180552</v>
      </c>
    </row>
    <row r="87" spans="1:14" x14ac:dyDescent="0.25">
      <c r="A87" t="s">
        <v>191</v>
      </c>
      <c r="B87" s="2">
        <v>45723</v>
      </c>
      <c r="C87" t="s">
        <v>192</v>
      </c>
      <c r="D87" t="s">
        <v>53</v>
      </c>
      <c r="E87" t="s">
        <v>40</v>
      </c>
      <c r="F87" t="s">
        <v>19</v>
      </c>
      <c r="G87">
        <v>1</v>
      </c>
      <c r="H87" s="3">
        <v>1799</v>
      </c>
      <c r="I87" s="4">
        <v>0.05</v>
      </c>
      <c r="J87" t="s">
        <v>15</v>
      </c>
      <c r="K87">
        <f t="shared" si="3"/>
        <v>1709.05</v>
      </c>
      <c r="L87">
        <f>_xlfn.XLOOKUP(D87,product_cost!A:A,product_cost!B:B)</f>
        <v>1000</v>
      </c>
      <c r="M87">
        <f t="shared" si="4"/>
        <v>709.05</v>
      </c>
      <c r="N87" s="10">
        <f t="shared" si="5"/>
        <v>0.41487961148006203</v>
      </c>
    </row>
    <row r="88" spans="1:14" x14ac:dyDescent="0.25">
      <c r="A88" t="s">
        <v>193</v>
      </c>
      <c r="B88" s="2">
        <v>45987</v>
      </c>
      <c r="C88" t="s">
        <v>194</v>
      </c>
      <c r="D88" t="s">
        <v>33</v>
      </c>
      <c r="E88" t="s">
        <v>13</v>
      </c>
      <c r="F88" t="s">
        <v>41</v>
      </c>
      <c r="G88">
        <v>3</v>
      </c>
      <c r="H88" s="3">
        <v>3499</v>
      </c>
      <c r="I88" s="4">
        <v>0</v>
      </c>
      <c r="J88" t="s">
        <v>30</v>
      </c>
      <c r="K88">
        <f t="shared" si="3"/>
        <v>10497</v>
      </c>
      <c r="L88">
        <f>_xlfn.XLOOKUP(D88,product_cost!A:A,product_cost!B:B)</f>
        <v>2300</v>
      </c>
      <c r="M88">
        <f t="shared" si="4"/>
        <v>3597</v>
      </c>
      <c r="N88" s="10">
        <f t="shared" si="5"/>
        <v>0.34266933409545586</v>
      </c>
    </row>
    <row r="89" spans="1:14" x14ac:dyDescent="0.25">
      <c r="A89" t="s">
        <v>195</v>
      </c>
      <c r="B89" s="2">
        <v>45825</v>
      </c>
      <c r="C89" t="s">
        <v>123</v>
      </c>
      <c r="D89" t="s">
        <v>104</v>
      </c>
      <c r="E89" t="s">
        <v>40</v>
      </c>
      <c r="F89" t="s">
        <v>25</v>
      </c>
      <c r="G89">
        <v>1</v>
      </c>
      <c r="H89" s="3">
        <v>999</v>
      </c>
      <c r="I89" s="4">
        <v>0.1</v>
      </c>
      <c r="J89" t="s">
        <v>47</v>
      </c>
      <c r="K89">
        <f t="shared" si="3"/>
        <v>899.1</v>
      </c>
      <c r="L89">
        <f>_xlfn.XLOOKUP(D89,product_cost!A:A,product_cost!B:B)</f>
        <v>550</v>
      </c>
      <c r="M89">
        <f t="shared" si="4"/>
        <v>349.1</v>
      </c>
      <c r="N89" s="10">
        <f t="shared" si="5"/>
        <v>0.38827716605494383</v>
      </c>
    </row>
    <row r="90" spans="1:14" x14ac:dyDescent="0.25">
      <c r="A90" t="s">
        <v>196</v>
      </c>
      <c r="B90" s="2">
        <v>45873</v>
      </c>
      <c r="C90" t="s">
        <v>197</v>
      </c>
      <c r="D90" t="s">
        <v>18</v>
      </c>
      <c r="E90" t="s">
        <v>13</v>
      </c>
      <c r="F90" t="s">
        <v>19</v>
      </c>
      <c r="G90">
        <v>2</v>
      </c>
      <c r="H90" s="3">
        <v>2499</v>
      </c>
      <c r="I90" s="4">
        <v>0.1</v>
      </c>
      <c r="J90" t="s">
        <v>47</v>
      </c>
      <c r="K90">
        <f t="shared" si="3"/>
        <v>4498.2</v>
      </c>
      <c r="L90">
        <f>_xlfn.XLOOKUP(D90,product_cost!A:A,product_cost!B:B)</f>
        <v>1600</v>
      </c>
      <c r="M90">
        <f t="shared" si="4"/>
        <v>1298.1999999999998</v>
      </c>
      <c r="N90" s="10">
        <f t="shared" si="5"/>
        <v>0.28860433062113733</v>
      </c>
    </row>
    <row r="91" spans="1:14" x14ac:dyDescent="0.25">
      <c r="A91" t="s">
        <v>198</v>
      </c>
      <c r="B91" s="2">
        <v>45772</v>
      </c>
      <c r="C91" t="s">
        <v>199</v>
      </c>
      <c r="D91" t="s">
        <v>18</v>
      </c>
      <c r="E91" t="s">
        <v>13</v>
      </c>
      <c r="F91" t="s">
        <v>19</v>
      </c>
      <c r="G91">
        <v>3</v>
      </c>
      <c r="H91" s="3">
        <v>2499</v>
      </c>
      <c r="I91" s="4">
        <v>0.1</v>
      </c>
      <c r="J91" t="s">
        <v>20</v>
      </c>
      <c r="K91">
        <f t="shared" si="3"/>
        <v>6747.3</v>
      </c>
      <c r="L91">
        <f>_xlfn.XLOOKUP(D91,product_cost!A:A,product_cost!B:B)</f>
        <v>1600</v>
      </c>
      <c r="M91">
        <f t="shared" si="4"/>
        <v>1947.3000000000002</v>
      </c>
      <c r="N91" s="10">
        <f t="shared" si="5"/>
        <v>0.28860433062113738</v>
      </c>
    </row>
    <row r="92" spans="1:14" x14ac:dyDescent="0.25">
      <c r="A92" t="s">
        <v>200</v>
      </c>
      <c r="B92" s="2">
        <v>45760</v>
      </c>
      <c r="C92" t="s">
        <v>201</v>
      </c>
      <c r="D92" t="s">
        <v>23</v>
      </c>
      <c r="E92" t="s">
        <v>24</v>
      </c>
      <c r="F92" t="s">
        <v>19</v>
      </c>
      <c r="G92">
        <v>1</v>
      </c>
      <c r="H92" s="3">
        <v>3999</v>
      </c>
      <c r="I92" s="4">
        <v>0</v>
      </c>
      <c r="J92" t="s">
        <v>42</v>
      </c>
      <c r="K92">
        <f t="shared" si="3"/>
        <v>3999</v>
      </c>
      <c r="L92">
        <f>_xlfn.XLOOKUP(D92,product_cost!A:A,product_cost!B:B)</f>
        <v>2600</v>
      </c>
      <c r="M92">
        <f t="shared" si="4"/>
        <v>1399</v>
      </c>
      <c r="N92" s="10">
        <f t="shared" si="5"/>
        <v>0.34983745936484123</v>
      </c>
    </row>
    <row r="93" spans="1:14" x14ac:dyDescent="0.25">
      <c r="A93" t="s">
        <v>202</v>
      </c>
      <c r="B93" s="2">
        <v>45769</v>
      </c>
      <c r="C93" t="s">
        <v>203</v>
      </c>
      <c r="D93" t="s">
        <v>62</v>
      </c>
      <c r="E93" t="s">
        <v>24</v>
      </c>
      <c r="F93" t="s">
        <v>19</v>
      </c>
      <c r="G93">
        <v>1</v>
      </c>
      <c r="H93" s="3">
        <v>1499</v>
      </c>
      <c r="I93" s="4">
        <v>0.05</v>
      </c>
      <c r="J93" t="s">
        <v>20</v>
      </c>
      <c r="K93">
        <f t="shared" si="3"/>
        <v>1424.05</v>
      </c>
      <c r="L93">
        <f>_xlfn.XLOOKUP(D93,product_cost!A:A,product_cost!B:B)</f>
        <v>800</v>
      </c>
      <c r="M93">
        <f t="shared" si="4"/>
        <v>624.04999999999995</v>
      </c>
      <c r="N93" s="10">
        <f t="shared" si="5"/>
        <v>0.43822197254309891</v>
      </c>
    </row>
    <row r="94" spans="1:14" x14ac:dyDescent="0.25">
      <c r="A94" t="s">
        <v>204</v>
      </c>
      <c r="B94" s="2">
        <v>45817</v>
      </c>
      <c r="C94" t="s">
        <v>205</v>
      </c>
      <c r="D94" t="s">
        <v>23</v>
      </c>
      <c r="E94" t="s">
        <v>24</v>
      </c>
      <c r="F94" t="s">
        <v>25</v>
      </c>
      <c r="G94">
        <v>1</v>
      </c>
      <c r="H94" s="3">
        <v>3999</v>
      </c>
      <c r="I94" s="4">
        <v>0</v>
      </c>
      <c r="J94" t="s">
        <v>30</v>
      </c>
      <c r="K94">
        <f t="shared" si="3"/>
        <v>3999</v>
      </c>
      <c r="L94">
        <f>_xlfn.XLOOKUP(D94,product_cost!A:A,product_cost!B:B)</f>
        <v>2600</v>
      </c>
      <c r="M94">
        <f t="shared" si="4"/>
        <v>1399</v>
      </c>
      <c r="N94" s="10">
        <f t="shared" si="5"/>
        <v>0.34983745936484123</v>
      </c>
    </row>
    <row r="95" spans="1:14" x14ac:dyDescent="0.25">
      <c r="A95" t="s">
        <v>206</v>
      </c>
      <c r="B95" s="2">
        <v>45759</v>
      </c>
      <c r="C95" t="s">
        <v>207</v>
      </c>
      <c r="D95" t="s">
        <v>23</v>
      </c>
      <c r="E95" t="s">
        <v>24</v>
      </c>
      <c r="F95" t="s">
        <v>19</v>
      </c>
      <c r="G95">
        <v>2</v>
      </c>
      <c r="H95" s="3">
        <v>3999</v>
      </c>
      <c r="I95" s="4">
        <v>0.1</v>
      </c>
      <c r="J95" t="s">
        <v>47</v>
      </c>
      <c r="K95">
        <f t="shared" si="3"/>
        <v>7198.2</v>
      </c>
      <c r="L95">
        <f>_xlfn.XLOOKUP(D95,product_cost!A:A,product_cost!B:B)</f>
        <v>2600</v>
      </c>
      <c r="M95">
        <f t="shared" si="4"/>
        <v>1998.1999999999998</v>
      </c>
      <c r="N95" s="10">
        <f t="shared" si="5"/>
        <v>0.27759717707204579</v>
      </c>
    </row>
    <row r="96" spans="1:14" x14ac:dyDescent="0.25">
      <c r="A96" t="s">
        <v>208</v>
      </c>
      <c r="B96" s="2">
        <v>46008</v>
      </c>
      <c r="C96" t="s">
        <v>209</v>
      </c>
      <c r="D96" t="s">
        <v>18</v>
      </c>
      <c r="E96" t="s">
        <v>13</v>
      </c>
      <c r="F96" t="s">
        <v>19</v>
      </c>
      <c r="G96">
        <v>3</v>
      </c>
      <c r="H96" s="3">
        <v>2499</v>
      </c>
      <c r="I96" s="4">
        <v>0.05</v>
      </c>
      <c r="J96" t="s">
        <v>47</v>
      </c>
      <c r="K96">
        <f t="shared" si="3"/>
        <v>7122.15</v>
      </c>
      <c r="L96">
        <f>_xlfn.XLOOKUP(D96,product_cost!A:A,product_cost!B:B)</f>
        <v>1600</v>
      </c>
      <c r="M96">
        <f t="shared" si="4"/>
        <v>2322.1499999999996</v>
      </c>
      <c r="N96" s="10">
        <f t="shared" si="5"/>
        <v>0.3260462079568669</v>
      </c>
    </row>
    <row r="97" spans="1:14" x14ac:dyDescent="0.25">
      <c r="A97" t="s">
        <v>210</v>
      </c>
      <c r="B97" s="2">
        <v>45930</v>
      </c>
      <c r="C97" t="s">
        <v>194</v>
      </c>
      <c r="D97" t="s">
        <v>50</v>
      </c>
      <c r="E97" t="s">
        <v>24</v>
      </c>
      <c r="F97" t="s">
        <v>41</v>
      </c>
      <c r="G97">
        <v>1</v>
      </c>
      <c r="H97" s="3">
        <v>799</v>
      </c>
      <c r="I97" s="4">
        <v>0.05</v>
      </c>
      <c r="J97" t="s">
        <v>15</v>
      </c>
      <c r="K97">
        <f t="shared" si="3"/>
        <v>759.05</v>
      </c>
      <c r="L97">
        <f>_xlfn.XLOOKUP(D97,product_cost!A:A,product_cost!B:B)</f>
        <v>400</v>
      </c>
      <c r="M97">
        <f t="shared" si="4"/>
        <v>359.04999999999995</v>
      </c>
      <c r="N97" s="10">
        <f t="shared" si="5"/>
        <v>0.47302549239180552</v>
      </c>
    </row>
    <row r="98" spans="1:14" x14ac:dyDescent="0.25">
      <c r="A98" t="s">
        <v>211</v>
      </c>
      <c r="B98" s="2">
        <v>45873</v>
      </c>
      <c r="C98" t="s">
        <v>77</v>
      </c>
      <c r="D98" t="s">
        <v>18</v>
      </c>
      <c r="E98" t="s">
        <v>13</v>
      </c>
      <c r="F98" t="s">
        <v>25</v>
      </c>
      <c r="G98">
        <v>1</v>
      </c>
      <c r="H98" s="3">
        <v>2499</v>
      </c>
      <c r="I98" s="4">
        <v>0.05</v>
      </c>
      <c r="J98" t="s">
        <v>20</v>
      </c>
      <c r="K98">
        <f t="shared" si="3"/>
        <v>2374.0499999999997</v>
      </c>
      <c r="L98">
        <f>_xlfn.XLOOKUP(D98,product_cost!A:A,product_cost!B:B)</f>
        <v>1600</v>
      </c>
      <c r="M98">
        <f t="shared" si="4"/>
        <v>774.04999999999973</v>
      </c>
      <c r="N98" s="10">
        <f t="shared" si="5"/>
        <v>0.3260462079568669</v>
      </c>
    </row>
    <row r="99" spans="1:14" x14ac:dyDescent="0.25">
      <c r="A99" t="s">
        <v>212</v>
      </c>
      <c r="B99" s="2">
        <v>45880</v>
      </c>
      <c r="C99" t="s">
        <v>213</v>
      </c>
      <c r="D99" t="s">
        <v>62</v>
      </c>
      <c r="E99" t="s">
        <v>24</v>
      </c>
      <c r="F99" t="s">
        <v>25</v>
      </c>
      <c r="G99">
        <v>2</v>
      </c>
      <c r="H99" s="3">
        <v>1499</v>
      </c>
      <c r="I99" s="4">
        <v>0.1</v>
      </c>
      <c r="J99" t="s">
        <v>30</v>
      </c>
      <c r="K99">
        <f t="shared" si="3"/>
        <v>2698.2000000000003</v>
      </c>
      <c r="L99">
        <f>_xlfn.XLOOKUP(D99,product_cost!A:A,product_cost!B:B)</f>
        <v>800</v>
      </c>
      <c r="M99">
        <f t="shared" si="4"/>
        <v>1098.2000000000003</v>
      </c>
      <c r="N99" s="10">
        <f t="shared" si="5"/>
        <v>0.40701208212882667</v>
      </c>
    </row>
    <row r="100" spans="1:14" x14ac:dyDescent="0.25">
      <c r="A100" t="s">
        <v>214</v>
      </c>
      <c r="B100" s="2">
        <v>45881</v>
      </c>
      <c r="C100" t="s">
        <v>215</v>
      </c>
      <c r="D100" t="s">
        <v>28</v>
      </c>
      <c r="E100" t="s">
        <v>29</v>
      </c>
      <c r="F100" t="s">
        <v>19</v>
      </c>
      <c r="G100">
        <v>1</v>
      </c>
      <c r="H100" s="3">
        <v>599</v>
      </c>
      <c r="I100" s="4">
        <v>0</v>
      </c>
      <c r="J100" t="s">
        <v>47</v>
      </c>
      <c r="K100">
        <f t="shared" si="3"/>
        <v>599</v>
      </c>
      <c r="L100">
        <f>_xlfn.XLOOKUP(D100,product_cost!A:A,product_cost!B:B)</f>
        <v>300</v>
      </c>
      <c r="M100">
        <f t="shared" si="4"/>
        <v>299</v>
      </c>
      <c r="N100" s="10">
        <f t="shared" si="5"/>
        <v>0.4991652754590985</v>
      </c>
    </row>
    <row r="101" spans="1:14" x14ac:dyDescent="0.25">
      <c r="A101" t="s">
        <v>216</v>
      </c>
      <c r="B101" s="2">
        <v>45888</v>
      </c>
      <c r="C101" t="s">
        <v>217</v>
      </c>
      <c r="D101" t="s">
        <v>104</v>
      </c>
      <c r="E101" t="s">
        <v>40</v>
      </c>
      <c r="F101" t="s">
        <v>41</v>
      </c>
      <c r="G101">
        <v>2</v>
      </c>
      <c r="H101" s="3">
        <v>999</v>
      </c>
      <c r="I101" s="4">
        <v>0.1</v>
      </c>
      <c r="J101" t="s">
        <v>15</v>
      </c>
      <c r="K101">
        <f t="shared" si="3"/>
        <v>1798.2</v>
      </c>
      <c r="L101">
        <f>_xlfn.XLOOKUP(D101,product_cost!A:A,product_cost!B:B)</f>
        <v>550</v>
      </c>
      <c r="M101">
        <f t="shared" si="4"/>
        <v>698.2</v>
      </c>
      <c r="N101" s="10">
        <f t="shared" si="5"/>
        <v>0.38827716605494383</v>
      </c>
    </row>
    <row r="102" spans="1:14" x14ac:dyDescent="0.25">
      <c r="A102" t="s">
        <v>218</v>
      </c>
      <c r="B102" s="2">
        <v>45911</v>
      </c>
      <c r="C102" t="s">
        <v>219</v>
      </c>
      <c r="D102" t="s">
        <v>33</v>
      </c>
      <c r="E102" t="s">
        <v>13</v>
      </c>
      <c r="F102" t="s">
        <v>41</v>
      </c>
      <c r="G102">
        <v>2</v>
      </c>
      <c r="H102" s="3">
        <v>3499</v>
      </c>
      <c r="I102" s="4">
        <v>0.05</v>
      </c>
      <c r="J102" t="s">
        <v>47</v>
      </c>
      <c r="K102">
        <f t="shared" si="3"/>
        <v>6648.0999999999995</v>
      </c>
      <c r="L102">
        <f>_xlfn.XLOOKUP(D102,product_cost!A:A,product_cost!B:B)</f>
        <v>2300</v>
      </c>
      <c r="M102">
        <f t="shared" si="4"/>
        <v>2048.0999999999995</v>
      </c>
      <c r="N102" s="10">
        <f t="shared" si="5"/>
        <v>0.30807298325837451</v>
      </c>
    </row>
    <row r="103" spans="1:14" x14ac:dyDescent="0.25">
      <c r="A103" t="s">
        <v>220</v>
      </c>
      <c r="B103" s="2">
        <v>45801</v>
      </c>
      <c r="C103" t="s">
        <v>221</v>
      </c>
      <c r="D103" t="s">
        <v>62</v>
      </c>
      <c r="E103" t="s">
        <v>24</v>
      </c>
      <c r="F103" t="s">
        <v>14</v>
      </c>
      <c r="G103">
        <v>3</v>
      </c>
      <c r="H103" s="3">
        <v>1499</v>
      </c>
      <c r="I103" s="4">
        <v>0.05</v>
      </c>
      <c r="J103" t="s">
        <v>15</v>
      </c>
      <c r="K103">
        <f t="shared" si="3"/>
        <v>4272.1499999999996</v>
      </c>
      <c r="L103">
        <f>_xlfn.XLOOKUP(D103,product_cost!A:A,product_cost!B:B)</f>
        <v>800</v>
      </c>
      <c r="M103">
        <f t="shared" si="4"/>
        <v>1872.1499999999996</v>
      </c>
      <c r="N103" s="10">
        <f t="shared" si="5"/>
        <v>0.43822197254309886</v>
      </c>
    </row>
    <row r="104" spans="1:14" x14ac:dyDescent="0.25">
      <c r="A104" t="s">
        <v>222</v>
      </c>
      <c r="B104" s="2">
        <v>45781</v>
      </c>
      <c r="C104" t="s">
        <v>142</v>
      </c>
      <c r="D104" t="s">
        <v>104</v>
      </c>
      <c r="E104" t="s">
        <v>40</v>
      </c>
      <c r="F104" t="s">
        <v>25</v>
      </c>
      <c r="G104">
        <v>2</v>
      </c>
      <c r="H104" s="3">
        <v>999</v>
      </c>
      <c r="I104" s="4">
        <v>0</v>
      </c>
      <c r="J104" t="s">
        <v>30</v>
      </c>
      <c r="K104">
        <f t="shared" si="3"/>
        <v>1998</v>
      </c>
      <c r="L104">
        <f>_xlfn.XLOOKUP(D104,product_cost!A:A,product_cost!B:B)</f>
        <v>550</v>
      </c>
      <c r="M104">
        <f t="shared" si="4"/>
        <v>898</v>
      </c>
      <c r="N104" s="10">
        <f t="shared" si="5"/>
        <v>0.44944944944944942</v>
      </c>
    </row>
    <row r="105" spans="1:14" x14ac:dyDescent="0.25">
      <c r="A105" t="s">
        <v>223</v>
      </c>
      <c r="B105" s="2">
        <v>45887</v>
      </c>
      <c r="C105" t="s">
        <v>224</v>
      </c>
      <c r="D105" t="s">
        <v>18</v>
      </c>
      <c r="E105" t="s">
        <v>13</v>
      </c>
      <c r="F105" t="s">
        <v>14</v>
      </c>
      <c r="G105">
        <v>1</v>
      </c>
      <c r="H105" s="3">
        <v>2499</v>
      </c>
      <c r="I105" s="4">
        <v>0.05</v>
      </c>
      <c r="J105" t="s">
        <v>47</v>
      </c>
      <c r="K105">
        <f t="shared" si="3"/>
        <v>2374.0499999999997</v>
      </c>
      <c r="L105">
        <f>_xlfn.XLOOKUP(D105,product_cost!A:A,product_cost!B:B)</f>
        <v>1600</v>
      </c>
      <c r="M105">
        <f t="shared" si="4"/>
        <v>774.04999999999973</v>
      </c>
      <c r="N105" s="10">
        <f t="shared" si="5"/>
        <v>0.3260462079568669</v>
      </c>
    </row>
    <row r="106" spans="1:14" x14ac:dyDescent="0.25">
      <c r="A106" t="s">
        <v>225</v>
      </c>
      <c r="B106" s="2">
        <v>45997</v>
      </c>
      <c r="C106" t="s">
        <v>166</v>
      </c>
      <c r="D106" t="s">
        <v>36</v>
      </c>
      <c r="E106" t="s">
        <v>29</v>
      </c>
      <c r="F106" t="s">
        <v>25</v>
      </c>
      <c r="G106">
        <v>2</v>
      </c>
      <c r="H106" s="3">
        <v>399</v>
      </c>
      <c r="I106" s="4">
        <v>0.05</v>
      </c>
      <c r="J106" t="s">
        <v>42</v>
      </c>
      <c r="K106">
        <f t="shared" si="3"/>
        <v>758.09999999999991</v>
      </c>
      <c r="L106">
        <f>_xlfn.XLOOKUP(D106,product_cost!A:A,product_cost!B:B)</f>
        <v>180</v>
      </c>
      <c r="M106">
        <f t="shared" si="4"/>
        <v>398.09999999999991</v>
      </c>
      <c r="N106" s="10">
        <f t="shared" si="5"/>
        <v>0.52512861100118713</v>
      </c>
    </row>
    <row r="107" spans="1:14" x14ac:dyDescent="0.25">
      <c r="A107" t="s">
        <v>226</v>
      </c>
      <c r="B107" s="2">
        <v>45827</v>
      </c>
      <c r="C107" t="s">
        <v>186</v>
      </c>
      <c r="D107" t="s">
        <v>62</v>
      </c>
      <c r="E107" t="s">
        <v>24</v>
      </c>
      <c r="F107" t="s">
        <v>14</v>
      </c>
      <c r="G107">
        <v>2</v>
      </c>
      <c r="H107" s="3">
        <v>1499</v>
      </c>
      <c r="I107" s="4">
        <v>0</v>
      </c>
      <c r="J107" t="s">
        <v>15</v>
      </c>
      <c r="K107">
        <f t="shared" si="3"/>
        <v>2998</v>
      </c>
      <c r="L107">
        <f>_xlfn.XLOOKUP(D107,product_cost!A:A,product_cost!B:B)</f>
        <v>800</v>
      </c>
      <c r="M107">
        <f t="shared" si="4"/>
        <v>1398</v>
      </c>
      <c r="N107" s="10">
        <f t="shared" si="5"/>
        <v>0.46631087391594395</v>
      </c>
    </row>
    <row r="108" spans="1:14" x14ac:dyDescent="0.25">
      <c r="A108" t="s">
        <v>227</v>
      </c>
      <c r="B108" s="2">
        <v>45756</v>
      </c>
      <c r="C108" t="s">
        <v>57</v>
      </c>
      <c r="D108" t="s">
        <v>18</v>
      </c>
      <c r="E108" t="s">
        <v>13</v>
      </c>
      <c r="F108" t="s">
        <v>14</v>
      </c>
      <c r="G108">
        <v>2</v>
      </c>
      <c r="H108" s="3">
        <v>2499</v>
      </c>
      <c r="I108" s="4">
        <v>0.2</v>
      </c>
      <c r="J108" t="s">
        <v>20</v>
      </c>
      <c r="K108">
        <f t="shared" si="3"/>
        <v>3998.4</v>
      </c>
      <c r="L108">
        <f>_xlfn.XLOOKUP(D108,product_cost!A:A,product_cost!B:B)</f>
        <v>1600</v>
      </c>
      <c r="M108">
        <f t="shared" si="4"/>
        <v>798.40000000000009</v>
      </c>
      <c r="N108" s="10">
        <f t="shared" si="5"/>
        <v>0.19967987194877954</v>
      </c>
    </row>
    <row r="109" spans="1:14" x14ac:dyDescent="0.25">
      <c r="A109" t="s">
        <v>228</v>
      </c>
      <c r="B109" s="2">
        <v>45768</v>
      </c>
      <c r="C109" t="s">
        <v>229</v>
      </c>
      <c r="D109" t="s">
        <v>28</v>
      </c>
      <c r="E109" t="s">
        <v>29</v>
      </c>
      <c r="F109" t="s">
        <v>41</v>
      </c>
      <c r="G109">
        <v>2</v>
      </c>
      <c r="H109" s="3">
        <v>599</v>
      </c>
      <c r="I109" s="4">
        <v>0.2</v>
      </c>
      <c r="J109" t="s">
        <v>15</v>
      </c>
      <c r="K109">
        <f t="shared" si="3"/>
        <v>958.40000000000009</v>
      </c>
      <c r="L109">
        <f>_xlfn.XLOOKUP(D109,product_cost!A:A,product_cost!B:B)</f>
        <v>300</v>
      </c>
      <c r="M109">
        <f t="shared" si="4"/>
        <v>358.40000000000009</v>
      </c>
      <c r="N109" s="10">
        <f t="shared" si="5"/>
        <v>0.37395659432387318</v>
      </c>
    </row>
    <row r="110" spans="1:14" x14ac:dyDescent="0.25">
      <c r="A110" t="s">
        <v>230</v>
      </c>
      <c r="B110" s="2">
        <v>45757</v>
      </c>
      <c r="C110" t="s">
        <v>72</v>
      </c>
      <c r="D110" t="s">
        <v>65</v>
      </c>
      <c r="E110" t="s">
        <v>29</v>
      </c>
      <c r="F110" t="s">
        <v>14</v>
      </c>
      <c r="G110">
        <v>1</v>
      </c>
      <c r="H110" s="3">
        <v>1299</v>
      </c>
      <c r="I110" s="4">
        <v>0</v>
      </c>
      <c r="J110" t="s">
        <v>47</v>
      </c>
      <c r="K110">
        <f t="shared" si="3"/>
        <v>1299</v>
      </c>
      <c r="L110">
        <f>_xlfn.XLOOKUP(D110,product_cost!A:A,product_cost!B:B)</f>
        <v>750</v>
      </c>
      <c r="M110">
        <f t="shared" si="4"/>
        <v>549</v>
      </c>
      <c r="N110" s="10">
        <f t="shared" si="5"/>
        <v>0.42263279445727481</v>
      </c>
    </row>
    <row r="111" spans="1:14" x14ac:dyDescent="0.25">
      <c r="A111" t="s">
        <v>231</v>
      </c>
      <c r="B111" s="2">
        <v>45681</v>
      </c>
      <c r="C111" t="s">
        <v>232</v>
      </c>
      <c r="D111" t="s">
        <v>53</v>
      </c>
      <c r="E111" t="s">
        <v>40</v>
      </c>
      <c r="F111" t="s">
        <v>25</v>
      </c>
      <c r="G111">
        <v>1</v>
      </c>
      <c r="H111" s="3">
        <v>1799</v>
      </c>
      <c r="I111" s="4">
        <v>0.15</v>
      </c>
      <c r="J111" t="s">
        <v>15</v>
      </c>
      <c r="K111">
        <f t="shared" si="3"/>
        <v>1529.1499999999999</v>
      </c>
      <c r="L111">
        <f>_xlfn.XLOOKUP(D111,product_cost!A:A,product_cost!B:B)</f>
        <v>1000</v>
      </c>
      <c r="M111">
        <f t="shared" si="4"/>
        <v>529.14999999999986</v>
      </c>
      <c r="N111" s="10">
        <f t="shared" si="5"/>
        <v>0.34604191871301043</v>
      </c>
    </row>
    <row r="112" spans="1:14" x14ac:dyDescent="0.25">
      <c r="A112" t="s">
        <v>233</v>
      </c>
      <c r="B112" s="2">
        <v>45664</v>
      </c>
      <c r="C112" t="s">
        <v>93</v>
      </c>
      <c r="D112" t="s">
        <v>28</v>
      </c>
      <c r="E112" t="s">
        <v>29</v>
      </c>
      <c r="F112" t="s">
        <v>14</v>
      </c>
      <c r="G112">
        <v>2</v>
      </c>
      <c r="H112" s="3">
        <v>599</v>
      </c>
      <c r="I112" s="4">
        <v>0.05</v>
      </c>
      <c r="J112" t="s">
        <v>15</v>
      </c>
      <c r="K112">
        <f t="shared" si="3"/>
        <v>1138.0999999999999</v>
      </c>
      <c r="L112">
        <f>_xlfn.XLOOKUP(D112,product_cost!A:A,product_cost!B:B)</f>
        <v>300</v>
      </c>
      <c r="M112">
        <f t="shared" si="4"/>
        <v>538.09999999999991</v>
      </c>
      <c r="N112" s="10">
        <f t="shared" si="5"/>
        <v>0.47280555311484046</v>
      </c>
    </row>
    <row r="113" spans="1:14" x14ac:dyDescent="0.25">
      <c r="A113" t="s">
        <v>234</v>
      </c>
      <c r="B113" s="2">
        <v>45787</v>
      </c>
      <c r="C113" t="s">
        <v>235</v>
      </c>
      <c r="D113" t="s">
        <v>18</v>
      </c>
      <c r="E113" t="s">
        <v>13</v>
      </c>
      <c r="F113" t="s">
        <v>19</v>
      </c>
      <c r="G113">
        <v>3</v>
      </c>
      <c r="H113" s="3">
        <v>2499</v>
      </c>
      <c r="I113" s="4">
        <v>0.05</v>
      </c>
      <c r="J113" t="s">
        <v>42</v>
      </c>
      <c r="K113">
        <f t="shared" si="3"/>
        <v>7122.15</v>
      </c>
      <c r="L113">
        <f>_xlfn.XLOOKUP(D113,product_cost!A:A,product_cost!B:B)</f>
        <v>1600</v>
      </c>
      <c r="M113">
        <f t="shared" si="4"/>
        <v>2322.1499999999996</v>
      </c>
      <c r="N113" s="10">
        <f t="shared" si="5"/>
        <v>0.3260462079568669</v>
      </c>
    </row>
    <row r="114" spans="1:14" x14ac:dyDescent="0.25">
      <c r="A114" t="s">
        <v>236</v>
      </c>
      <c r="B114" s="2">
        <v>45980</v>
      </c>
      <c r="C114" t="s">
        <v>237</v>
      </c>
      <c r="D114" t="s">
        <v>12</v>
      </c>
      <c r="E114" t="s">
        <v>13</v>
      </c>
      <c r="F114" t="s">
        <v>41</v>
      </c>
      <c r="G114">
        <v>1</v>
      </c>
      <c r="H114" s="3">
        <v>1999</v>
      </c>
      <c r="I114" s="4">
        <v>0.15</v>
      </c>
      <c r="J114" t="s">
        <v>15</v>
      </c>
      <c r="K114">
        <f t="shared" si="3"/>
        <v>1699.1499999999999</v>
      </c>
      <c r="L114">
        <f>_xlfn.XLOOKUP(D114,product_cost!A:A,product_cost!B:B)</f>
        <v>1200</v>
      </c>
      <c r="M114">
        <f t="shared" si="4"/>
        <v>499.14999999999986</v>
      </c>
      <c r="N114" s="10">
        <f t="shared" si="5"/>
        <v>0.29376452932348524</v>
      </c>
    </row>
    <row r="115" spans="1:14" x14ac:dyDescent="0.25">
      <c r="A115" t="s">
        <v>238</v>
      </c>
      <c r="B115" s="2">
        <v>45785</v>
      </c>
      <c r="C115" t="s">
        <v>239</v>
      </c>
      <c r="D115" t="s">
        <v>53</v>
      </c>
      <c r="E115" t="s">
        <v>40</v>
      </c>
      <c r="F115" t="s">
        <v>14</v>
      </c>
      <c r="G115">
        <v>3</v>
      </c>
      <c r="H115" s="3">
        <v>1799</v>
      </c>
      <c r="I115" s="4">
        <v>0.1</v>
      </c>
      <c r="J115" t="s">
        <v>42</v>
      </c>
      <c r="K115">
        <f t="shared" si="3"/>
        <v>4857.3</v>
      </c>
      <c r="L115">
        <f>_xlfn.XLOOKUP(D115,product_cost!A:A,product_cost!B:B)</f>
        <v>1000</v>
      </c>
      <c r="M115">
        <f t="shared" si="4"/>
        <v>1857.3000000000002</v>
      </c>
      <c r="N115" s="10">
        <f t="shared" si="5"/>
        <v>0.38237292322895439</v>
      </c>
    </row>
    <row r="116" spans="1:14" x14ac:dyDescent="0.25">
      <c r="A116" t="s">
        <v>240</v>
      </c>
      <c r="B116" s="2">
        <v>45852</v>
      </c>
      <c r="C116" t="s">
        <v>241</v>
      </c>
      <c r="D116" t="s">
        <v>104</v>
      </c>
      <c r="E116" t="s">
        <v>40</v>
      </c>
      <c r="F116" t="s">
        <v>25</v>
      </c>
      <c r="G116">
        <v>1</v>
      </c>
      <c r="H116" s="3">
        <v>999</v>
      </c>
      <c r="I116" s="4">
        <v>0.05</v>
      </c>
      <c r="J116" t="s">
        <v>47</v>
      </c>
      <c r="K116">
        <f t="shared" si="3"/>
        <v>949.05</v>
      </c>
      <c r="L116">
        <f>_xlfn.XLOOKUP(D116,product_cost!A:A,product_cost!B:B)</f>
        <v>550</v>
      </c>
      <c r="M116">
        <f t="shared" si="4"/>
        <v>399.04999999999995</v>
      </c>
      <c r="N116" s="10">
        <f t="shared" si="5"/>
        <v>0.42047310468363097</v>
      </c>
    </row>
    <row r="117" spans="1:14" x14ac:dyDescent="0.25">
      <c r="A117" t="s">
        <v>242</v>
      </c>
      <c r="B117" s="2">
        <v>45949</v>
      </c>
      <c r="C117" t="s">
        <v>243</v>
      </c>
      <c r="D117" t="s">
        <v>12</v>
      </c>
      <c r="E117" t="s">
        <v>13</v>
      </c>
      <c r="F117" t="s">
        <v>14</v>
      </c>
      <c r="G117">
        <v>2</v>
      </c>
      <c r="H117" s="3">
        <v>1999</v>
      </c>
      <c r="I117" s="4">
        <v>0.1</v>
      </c>
      <c r="J117" t="s">
        <v>20</v>
      </c>
      <c r="K117">
        <f t="shared" si="3"/>
        <v>3598.2000000000003</v>
      </c>
      <c r="L117">
        <f>_xlfn.XLOOKUP(D117,product_cost!A:A,product_cost!B:B)</f>
        <v>1200</v>
      </c>
      <c r="M117">
        <f t="shared" si="4"/>
        <v>1198.2000000000003</v>
      </c>
      <c r="N117" s="10">
        <f t="shared" si="5"/>
        <v>0.33299983324995835</v>
      </c>
    </row>
    <row r="118" spans="1:14" x14ac:dyDescent="0.25">
      <c r="A118" t="s">
        <v>244</v>
      </c>
      <c r="B118" s="2">
        <v>45793</v>
      </c>
      <c r="C118" t="s">
        <v>245</v>
      </c>
      <c r="D118" t="s">
        <v>18</v>
      </c>
      <c r="E118" t="s">
        <v>13</v>
      </c>
      <c r="F118" t="s">
        <v>19</v>
      </c>
      <c r="G118">
        <v>1</v>
      </c>
      <c r="H118" s="3">
        <v>2499</v>
      </c>
      <c r="I118" s="4">
        <v>0</v>
      </c>
      <c r="J118" t="s">
        <v>20</v>
      </c>
      <c r="K118">
        <f t="shared" si="3"/>
        <v>2499</v>
      </c>
      <c r="L118">
        <f>_xlfn.XLOOKUP(D118,product_cost!A:A,product_cost!B:B)</f>
        <v>1600</v>
      </c>
      <c r="M118">
        <f t="shared" si="4"/>
        <v>899</v>
      </c>
      <c r="N118" s="10">
        <f t="shared" si="5"/>
        <v>0.35974389755902358</v>
      </c>
    </row>
    <row r="119" spans="1:14" x14ac:dyDescent="0.25">
      <c r="A119" t="s">
        <v>246</v>
      </c>
      <c r="B119" s="2">
        <v>45659</v>
      </c>
      <c r="C119" t="s">
        <v>142</v>
      </c>
      <c r="D119" t="s">
        <v>104</v>
      </c>
      <c r="E119" t="s">
        <v>40</v>
      </c>
      <c r="F119" t="s">
        <v>19</v>
      </c>
      <c r="G119">
        <v>2</v>
      </c>
      <c r="H119" s="3">
        <v>999</v>
      </c>
      <c r="I119" s="4">
        <v>0.05</v>
      </c>
      <c r="J119" t="s">
        <v>20</v>
      </c>
      <c r="K119">
        <f t="shared" si="3"/>
        <v>1898.1</v>
      </c>
      <c r="L119">
        <f>_xlfn.XLOOKUP(D119,product_cost!A:A,product_cost!B:B)</f>
        <v>550</v>
      </c>
      <c r="M119">
        <f t="shared" si="4"/>
        <v>798.09999999999991</v>
      </c>
      <c r="N119" s="10">
        <f t="shared" si="5"/>
        <v>0.42047310468363097</v>
      </c>
    </row>
    <row r="120" spans="1:14" x14ac:dyDescent="0.25">
      <c r="A120" t="s">
        <v>247</v>
      </c>
      <c r="B120" s="2">
        <v>45805</v>
      </c>
      <c r="C120" t="s">
        <v>125</v>
      </c>
      <c r="D120" t="s">
        <v>62</v>
      </c>
      <c r="E120" t="s">
        <v>24</v>
      </c>
      <c r="F120" t="s">
        <v>14</v>
      </c>
      <c r="G120">
        <v>3</v>
      </c>
      <c r="H120" s="3">
        <v>1499</v>
      </c>
      <c r="I120" s="4">
        <v>0</v>
      </c>
      <c r="J120" t="s">
        <v>47</v>
      </c>
      <c r="K120">
        <f t="shared" si="3"/>
        <v>4497</v>
      </c>
      <c r="L120">
        <f>_xlfn.XLOOKUP(D120,product_cost!A:A,product_cost!B:B)</f>
        <v>800</v>
      </c>
      <c r="M120">
        <f t="shared" si="4"/>
        <v>2097</v>
      </c>
      <c r="N120" s="10">
        <f t="shared" si="5"/>
        <v>0.46631087391594395</v>
      </c>
    </row>
    <row r="121" spans="1:14" x14ac:dyDescent="0.25">
      <c r="A121" t="s">
        <v>248</v>
      </c>
      <c r="B121" s="2">
        <v>45978</v>
      </c>
      <c r="C121" t="s">
        <v>27</v>
      </c>
      <c r="D121" t="s">
        <v>50</v>
      </c>
      <c r="E121" t="s">
        <v>24</v>
      </c>
      <c r="F121" t="s">
        <v>19</v>
      </c>
      <c r="G121">
        <v>3</v>
      </c>
      <c r="H121" s="3">
        <v>799</v>
      </c>
      <c r="I121" s="4">
        <v>0</v>
      </c>
      <c r="J121" t="s">
        <v>42</v>
      </c>
      <c r="K121">
        <f t="shared" si="3"/>
        <v>2397</v>
      </c>
      <c r="L121">
        <f>_xlfn.XLOOKUP(D121,product_cost!A:A,product_cost!B:B)</f>
        <v>400</v>
      </c>
      <c r="M121">
        <f t="shared" si="4"/>
        <v>1197</v>
      </c>
      <c r="N121" s="10">
        <f t="shared" si="5"/>
        <v>0.49937421777221525</v>
      </c>
    </row>
    <row r="122" spans="1:14" x14ac:dyDescent="0.25">
      <c r="A122" t="s">
        <v>249</v>
      </c>
      <c r="B122" s="2">
        <v>45773</v>
      </c>
      <c r="C122" t="s">
        <v>250</v>
      </c>
      <c r="D122" t="s">
        <v>33</v>
      </c>
      <c r="E122" t="s">
        <v>13</v>
      </c>
      <c r="F122" t="s">
        <v>19</v>
      </c>
      <c r="G122">
        <v>4</v>
      </c>
      <c r="H122" s="3">
        <v>3499</v>
      </c>
      <c r="I122" s="4">
        <v>0.15</v>
      </c>
      <c r="J122" t="s">
        <v>15</v>
      </c>
      <c r="K122">
        <f t="shared" si="3"/>
        <v>11896.6</v>
      </c>
      <c r="L122">
        <f>_xlfn.XLOOKUP(D122,product_cost!A:A,product_cost!B:B)</f>
        <v>2300</v>
      </c>
      <c r="M122">
        <f t="shared" si="4"/>
        <v>2696.6000000000004</v>
      </c>
      <c r="N122" s="10">
        <f t="shared" si="5"/>
        <v>0.22666980481818336</v>
      </c>
    </row>
    <row r="123" spans="1:14" x14ac:dyDescent="0.25">
      <c r="A123" t="s">
        <v>251</v>
      </c>
      <c r="B123" s="2">
        <v>45742</v>
      </c>
      <c r="C123" t="s">
        <v>252</v>
      </c>
      <c r="D123" t="s">
        <v>23</v>
      </c>
      <c r="E123" t="s">
        <v>24</v>
      </c>
      <c r="F123" t="s">
        <v>41</v>
      </c>
      <c r="G123">
        <v>2</v>
      </c>
      <c r="H123" s="3">
        <v>3999</v>
      </c>
      <c r="I123" s="4">
        <v>0.05</v>
      </c>
      <c r="J123" t="s">
        <v>30</v>
      </c>
      <c r="K123">
        <f t="shared" si="3"/>
        <v>7598.0999999999995</v>
      </c>
      <c r="L123">
        <f>_xlfn.XLOOKUP(D123,product_cost!A:A,product_cost!B:B)</f>
        <v>2600</v>
      </c>
      <c r="M123">
        <f t="shared" si="4"/>
        <v>2398.0999999999995</v>
      </c>
      <c r="N123" s="10">
        <f t="shared" si="5"/>
        <v>0.3156183782787802</v>
      </c>
    </row>
    <row r="124" spans="1:14" x14ac:dyDescent="0.25">
      <c r="A124" t="s">
        <v>253</v>
      </c>
      <c r="B124" s="2">
        <v>45721</v>
      </c>
      <c r="C124" t="s">
        <v>203</v>
      </c>
      <c r="D124" t="s">
        <v>62</v>
      </c>
      <c r="E124" t="s">
        <v>24</v>
      </c>
      <c r="F124" t="s">
        <v>41</v>
      </c>
      <c r="G124">
        <v>1</v>
      </c>
      <c r="H124" s="3">
        <v>1499</v>
      </c>
      <c r="I124" s="4">
        <v>0.05</v>
      </c>
      <c r="J124" t="s">
        <v>42</v>
      </c>
      <c r="K124">
        <f t="shared" si="3"/>
        <v>1424.05</v>
      </c>
      <c r="L124">
        <f>_xlfn.XLOOKUP(D124,product_cost!A:A,product_cost!B:B)</f>
        <v>800</v>
      </c>
      <c r="M124">
        <f t="shared" si="4"/>
        <v>624.04999999999995</v>
      </c>
      <c r="N124" s="10">
        <f t="shared" si="5"/>
        <v>0.43822197254309891</v>
      </c>
    </row>
    <row r="125" spans="1:14" x14ac:dyDescent="0.25">
      <c r="A125" t="s">
        <v>254</v>
      </c>
      <c r="B125" s="2">
        <v>45934</v>
      </c>
      <c r="C125" t="s">
        <v>255</v>
      </c>
      <c r="D125" t="s">
        <v>104</v>
      </c>
      <c r="E125" t="s">
        <v>40</v>
      </c>
      <c r="F125" t="s">
        <v>25</v>
      </c>
      <c r="G125">
        <v>1</v>
      </c>
      <c r="H125" s="3">
        <v>999</v>
      </c>
      <c r="I125" s="4">
        <v>0</v>
      </c>
      <c r="J125" t="s">
        <v>47</v>
      </c>
      <c r="K125">
        <f t="shared" si="3"/>
        <v>999</v>
      </c>
      <c r="L125">
        <f>_xlfn.XLOOKUP(D125,product_cost!A:A,product_cost!B:B)</f>
        <v>550</v>
      </c>
      <c r="M125">
        <f t="shared" si="4"/>
        <v>449</v>
      </c>
      <c r="N125" s="10">
        <f t="shared" si="5"/>
        <v>0.44944944944944942</v>
      </c>
    </row>
    <row r="126" spans="1:14" x14ac:dyDescent="0.25">
      <c r="A126" t="s">
        <v>256</v>
      </c>
      <c r="B126" s="2">
        <v>45967</v>
      </c>
      <c r="C126" t="s">
        <v>197</v>
      </c>
      <c r="D126" t="s">
        <v>12</v>
      </c>
      <c r="E126" t="s">
        <v>13</v>
      </c>
      <c r="F126" t="s">
        <v>19</v>
      </c>
      <c r="G126">
        <v>1</v>
      </c>
      <c r="H126" s="3">
        <v>1999</v>
      </c>
      <c r="I126" s="4">
        <v>0.2</v>
      </c>
      <c r="J126" t="s">
        <v>47</v>
      </c>
      <c r="K126">
        <f t="shared" si="3"/>
        <v>1599.2</v>
      </c>
      <c r="L126">
        <f>_xlfn.XLOOKUP(D126,product_cost!A:A,product_cost!B:B)</f>
        <v>1200</v>
      </c>
      <c r="M126">
        <f t="shared" si="4"/>
        <v>399.20000000000005</v>
      </c>
      <c r="N126" s="10">
        <f t="shared" si="5"/>
        <v>0.24962481240620313</v>
      </c>
    </row>
    <row r="127" spans="1:14" x14ac:dyDescent="0.25">
      <c r="A127" t="s">
        <v>257</v>
      </c>
      <c r="B127" s="2">
        <v>45953</v>
      </c>
      <c r="C127" t="s">
        <v>140</v>
      </c>
      <c r="D127" t="s">
        <v>33</v>
      </c>
      <c r="E127" t="s">
        <v>13</v>
      </c>
      <c r="F127" t="s">
        <v>41</v>
      </c>
      <c r="G127">
        <v>2</v>
      </c>
      <c r="H127" s="3">
        <v>3499</v>
      </c>
      <c r="I127" s="4">
        <v>0.1</v>
      </c>
      <c r="J127" t="s">
        <v>20</v>
      </c>
      <c r="K127">
        <f t="shared" si="3"/>
        <v>6298.2</v>
      </c>
      <c r="L127">
        <f>_xlfn.XLOOKUP(D127,product_cost!A:A,product_cost!B:B)</f>
        <v>2300</v>
      </c>
      <c r="M127">
        <f t="shared" si="4"/>
        <v>1698.1999999999998</v>
      </c>
      <c r="N127" s="10">
        <f t="shared" si="5"/>
        <v>0.26963259343939538</v>
      </c>
    </row>
    <row r="128" spans="1:14" x14ac:dyDescent="0.25">
      <c r="A128" t="s">
        <v>258</v>
      </c>
      <c r="B128" s="2">
        <v>45957</v>
      </c>
      <c r="C128" t="s">
        <v>156</v>
      </c>
      <c r="D128" t="s">
        <v>50</v>
      </c>
      <c r="E128" t="s">
        <v>24</v>
      </c>
      <c r="F128" t="s">
        <v>25</v>
      </c>
      <c r="G128">
        <v>3</v>
      </c>
      <c r="H128" s="3">
        <v>799</v>
      </c>
      <c r="I128" s="4">
        <v>0.2</v>
      </c>
      <c r="J128" t="s">
        <v>47</v>
      </c>
      <c r="K128">
        <f t="shared" si="3"/>
        <v>1917.6000000000001</v>
      </c>
      <c r="L128">
        <f>_xlfn.XLOOKUP(D128,product_cost!A:A,product_cost!B:B)</f>
        <v>400</v>
      </c>
      <c r="M128">
        <f t="shared" si="4"/>
        <v>717.60000000000014</v>
      </c>
      <c r="N128" s="10">
        <f t="shared" si="5"/>
        <v>0.37421777221526914</v>
      </c>
    </row>
    <row r="129" spans="1:14" x14ac:dyDescent="0.25">
      <c r="A129" t="s">
        <v>259</v>
      </c>
      <c r="B129" s="2">
        <v>45867</v>
      </c>
      <c r="C129" t="s">
        <v>260</v>
      </c>
      <c r="D129" t="s">
        <v>36</v>
      </c>
      <c r="E129" t="s">
        <v>29</v>
      </c>
      <c r="F129" t="s">
        <v>41</v>
      </c>
      <c r="G129">
        <v>2</v>
      </c>
      <c r="H129" s="3">
        <v>399</v>
      </c>
      <c r="I129" s="4">
        <v>0.15</v>
      </c>
      <c r="J129" t="s">
        <v>30</v>
      </c>
      <c r="K129">
        <f t="shared" si="3"/>
        <v>678.3</v>
      </c>
      <c r="L129">
        <f>_xlfn.XLOOKUP(D129,product_cost!A:A,product_cost!B:B)</f>
        <v>180</v>
      </c>
      <c r="M129">
        <f t="shared" si="4"/>
        <v>318.29999999999995</v>
      </c>
      <c r="N129" s="10">
        <f t="shared" si="5"/>
        <v>0.46926138876603268</v>
      </c>
    </row>
    <row r="130" spans="1:14" x14ac:dyDescent="0.25">
      <c r="A130" t="s">
        <v>261</v>
      </c>
      <c r="B130" s="2">
        <v>46013</v>
      </c>
      <c r="C130" t="s">
        <v>255</v>
      </c>
      <c r="D130" t="s">
        <v>28</v>
      </c>
      <c r="E130" t="s">
        <v>29</v>
      </c>
      <c r="F130" t="s">
        <v>19</v>
      </c>
      <c r="G130">
        <v>2</v>
      </c>
      <c r="H130" s="3">
        <v>599</v>
      </c>
      <c r="I130" s="4">
        <v>0.05</v>
      </c>
      <c r="J130" t="s">
        <v>30</v>
      </c>
      <c r="K130">
        <f t="shared" ref="K130:K193" si="6">G130*H130*(1-I130)</f>
        <v>1138.0999999999999</v>
      </c>
      <c r="L130">
        <f>_xlfn.XLOOKUP(D130,product_cost!A:A,product_cost!B:B)</f>
        <v>300</v>
      </c>
      <c r="M130">
        <f t="shared" ref="M130:M193" si="7">K130-(G130*L130)</f>
        <v>538.09999999999991</v>
      </c>
      <c r="N130" s="10">
        <f t="shared" ref="N130:N193" si="8">M130/K130</f>
        <v>0.47280555311484046</v>
      </c>
    </row>
    <row r="131" spans="1:14" x14ac:dyDescent="0.25">
      <c r="A131" t="s">
        <v>262</v>
      </c>
      <c r="B131" s="2">
        <v>45703</v>
      </c>
      <c r="C131" t="s">
        <v>57</v>
      </c>
      <c r="D131" t="s">
        <v>28</v>
      </c>
      <c r="E131" t="s">
        <v>29</v>
      </c>
      <c r="F131" t="s">
        <v>25</v>
      </c>
      <c r="G131">
        <v>1</v>
      </c>
      <c r="H131" s="3">
        <v>599</v>
      </c>
      <c r="I131" s="4">
        <v>0.2</v>
      </c>
      <c r="J131" t="s">
        <v>42</v>
      </c>
      <c r="K131">
        <f t="shared" si="6"/>
        <v>479.20000000000005</v>
      </c>
      <c r="L131">
        <f>_xlfn.XLOOKUP(D131,product_cost!A:A,product_cost!B:B)</f>
        <v>300</v>
      </c>
      <c r="M131">
        <f t="shared" si="7"/>
        <v>179.20000000000005</v>
      </c>
      <c r="N131" s="10">
        <f t="shared" si="8"/>
        <v>0.37395659432387318</v>
      </c>
    </row>
    <row r="132" spans="1:14" x14ac:dyDescent="0.25">
      <c r="A132" t="s">
        <v>263</v>
      </c>
      <c r="B132" s="2">
        <v>45658</v>
      </c>
      <c r="C132" t="s">
        <v>150</v>
      </c>
      <c r="D132" t="s">
        <v>53</v>
      </c>
      <c r="E132" t="s">
        <v>40</v>
      </c>
      <c r="F132" t="s">
        <v>41</v>
      </c>
      <c r="G132">
        <v>2</v>
      </c>
      <c r="H132" s="3">
        <v>1799</v>
      </c>
      <c r="I132" s="4">
        <v>0</v>
      </c>
      <c r="J132" t="s">
        <v>42</v>
      </c>
      <c r="K132">
        <f t="shared" si="6"/>
        <v>3598</v>
      </c>
      <c r="L132">
        <f>_xlfn.XLOOKUP(D132,product_cost!A:A,product_cost!B:B)</f>
        <v>1000</v>
      </c>
      <c r="M132">
        <f t="shared" si="7"/>
        <v>1598</v>
      </c>
      <c r="N132" s="10">
        <f t="shared" si="8"/>
        <v>0.4441356309060589</v>
      </c>
    </row>
    <row r="133" spans="1:14" x14ac:dyDescent="0.25">
      <c r="A133" t="s">
        <v>264</v>
      </c>
      <c r="B133" s="2">
        <v>45913</v>
      </c>
      <c r="C133" t="s">
        <v>265</v>
      </c>
      <c r="D133" t="s">
        <v>104</v>
      </c>
      <c r="E133" t="s">
        <v>40</v>
      </c>
      <c r="F133" t="s">
        <v>14</v>
      </c>
      <c r="G133">
        <v>3</v>
      </c>
      <c r="H133" s="3">
        <v>999</v>
      </c>
      <c r="I133" s="4">
        <v>0</v>
      </c>
      <c r="J133" t="s">
        <v>47</v>
      </c>
      <c r="K133">
        <f t="shared" si="6"/>
        <v>2997</v>
      </c>
      <c r="L133">
        <f>_xlfn.XLOOKUP(D133,product_cost!A:A,product_cost!B:B)</f>
        <v>550</v>
      </c>
      <c r="M133">
        <f t="shared" si="7"/>
        <v>1347</v>
      </c>
      <c r="N133" s="10">
        <f t="shared" si="8"/>
        <v>0.44944944944944942</v>
      </c>
    </row>
    <row r="134" spans="1:14" x14ac:dyDescent="0.25">
      <c r="A134" t="s">
        <v>266</v>
      </c>
      <c r="B134" s="2">
        <v>45882</v>
      </c>
      <c r="C134" t="s">
        <v>108</v>
      </c>
      <c r="D134" t="s">
        <v>104</v>
      </c>
      <c r="E134" t="s">
        <v>40</v>
      </c>
      <c r="F134" t="s">
        <v>14</v>
      </c>
      <c r="G134">
        <v>1</v>
      </c>
      <c r="H134" s="3">
        <v>999</v>
      </c>
      <c r="I134" s="4">
        <v>0.2</v>
      </c>
      <c r="J134" t="s">
        <v>20</v>
      </c>
      <c r="K134">
        <f t="shared" si="6"/>
        <v>799.2</v>
      </c>
      <c r="L134">
        <f>_xlfn.XLOOKUP(D134,product_cost!A:A,product_cost!B:B)</f>
        <v>550</v>
      </c>
      <c r="M134">
        <f t="shared" si="7"/>
        <v>249.20000000000005</v>
      </c>
      <c r="N134" s="10">
        <f t="shared" si="8"/>
        <v>0.31181181181181183</v>
      </c>
    </row>
    <row r="135" spans="1:14" x14ac:dyDescent="0.25">
      <c r="A135" t="s">
        <v>267</v>
      </c>
      <c r="B135" s="2">
        <v>45817</v>
      </c>
      <c r="C135" t="s">
        <v>268</v>
      </c>
      <c r="D135" t="s">
        <v>12</v>
      </c>
      <c r="E135" t="s">
        <v>13</v>
      </c>
      <c r="F135" t="s">
        <v>19</v>
      </c>
      <c r="G135">
        <v>2</v>
      </c>
      <c r="H135" s="3">
        <v>1999</v>
      </c>
      <c r="I135" s="4">
        <v>0</v>
      </c>
      <c r="J135" t="s">
        <v>30</v>
      </c>
      <c r="K135">
        <f t="shared" si="6"/>
        <v>3998</v>
      </c>
      <c r="L135">
        <f>_xlfn.XLOOKUP(D135,product_cost!A:A,product_cost!B:B)</f>
        <v>1200</v>
      </c>
      <c r="M135">
        <f t="shared" si="7"/>
        <v>1598</v>
      </c>
      <c r="N135" s="10">
        <f t="shared" si="8"/>
        <v>0.39969984992496249</v>
      </c>
    </row>
    <row r="136" spans="1:14" x14ac:dyDescent="0.25">
      <c r="A136" t="s">
        <v>269</v>
      </c>
      <c r="B136" s="2">
        <v>45718</v>
      </c>
      <c r="C136" t="s">
        <v>250</v>
      </c>
      <c r="D136" t="s">
        <v>33</v>
      </c>
      <c r="E136" t="s">
        <v>13</v>
      </c>
      <c r="F136" t="s">
        <v>41</v>
      </c>
      <c r="G136">
        <v>2</v>
      </c>
      <c r="H136" s="3">
        <v>3499</v>
      </c>
      <c r="I136" s="4">
        <v>0.1</v>
      </c>
      <c r="J136" t="s">
        <v>30</v>
      </c>
      <c r="K136">
        <f t="shared" si="6"/>
        <v>6298.2</v>
      </c>
      <c r="L136">
        <f>_xlfn.XLOOKUP(D136,product_cost!A:A,product_cost!B:B)</f>
        <v>2300</v>
      </c>
      <c r="M136">
        <f t="shared" si="7"/>
        <v>1698.1999999999998</v>
      </c>
      <c r="N136" s="10">
        <f t="shared" si="8"/>
        <v>0.26963259343939538</v>
      </c>
    </row>
    <row r="137" spans="1:14" x14ac:dyDescent="0.25">
      <c r="A137" t="s">
        <v>270</v>
      </c>
      <c r="B137" s="2">
        <v>45905</v>
      </c>
      <c r="C137" t="s">
        <v>271</v>
      </c>
      <c r="D137" t="s">
        <v>65</v>
      </c>
      <c r="E137" t="s">
        <v>29</v>
      </c>
      <c r="F137" t="s">
        <v>14</v>
      </c>
      <c r="G137">
        <v>2</v>
      </c>
      <c r="H137" s="3">
        <v>1299</v>
      </c>
      <c r="I137" s="4">
        <v>0</v>
      </c>
      <c r="J137" t="s">
        <v>42</v>
      </c>
      <c r="K137">
        <f t="shared" si="6"/>
        <v>2598</v>
      </c>
      <c r="L137">
        <f>_xlfn.XLOOKUP(D137,product_cost!A:A,product_cost!B:B)</f>
        <v>750</v>
      </c>
      <c r="M137">
        <f t="shared" si="7"/>
        <v>1098</v>
      </c>
      <c r="N137" s="10">
        <f t="shared" si="8"/>
        <v>0.42263279445727481</v>
      </c>
    </row>
    <row r="138" spans="1:14" x14ac:dyDescent="0.25">
      <c r="A138" t="s">
        <v>272</v>
      </c>
      <c r="B138" s="2">
        <v>45918</v>
      </c>
      <c r="C138" t="s">
        <v>273</v>
      </c>
      <c r="D138" t="s">
        <v>18</v>
      </c>
      <c r="E138" t="s">
        <v>13</v>
      </c>
      <c r="F138" t="s">
        <v>25</v>
      </c>
      <c r="G138">
        <v>1</v>
      </c>
      <c r="H138" s="3">
        <v>2499</v>
      </c>
      <c r="I138" s="4">
        <v>0.1</v>
      </c>
      <c r="J138" t="s">
        <v>47</v>
      </c>
      <c r="K138">
        <f t="shared" si="6"/>
        <v>2249.1</v>
      </c>
      <c r="L138">
        <f>_xlfn.XLOOKUP(D138,product_cost!A:A,product_cost!B:B)</f>
        <v>1600</v>
      </c>
      <c r="M138">
        <f t="shared" si="7"/>
        <v>649.09999999999991</v>
      </c>
      <c r="N138" s="10">
        <f t="shared" si="8"/>
        <v>0.28860433062113733</v>
      </c>
    </row>
    <row r="139" spans="1:14" x14ac:dyDescent="0.25">
      <c r="A139" t="s">
        <v>274</v>
      </c>
      <c r="B139" s="2">
        <v>45917</v>
      </c>
      <c r="C139" t="s">
        <v>275</v>
      </c>
      <c r="D139" t="s">
        <v>12</v>
      </c>
      <c r="E139" t="s">
        <v>13</v>
      </c>
      <c r="F139" t="s">
        <v>25</v>
      </c>
      <c r="G139">
        <v>1</v>
      </c>
      <c r="H139" s="3">
        <v>1999</v>
      </c>
      <c r="I139" s="4">
        <v>0</v>
      </c>
      <c r="J139" t="s">
        <v>20</v>
      </c>
      <c r="K139">
        <f t="shared" si="6"/>
        <v>1999</v>
      </c>
      <c r="L139">
        <f>_xlfn.XLOOKUP(D139,product_cost!A:A,product_cost!B:B)</f>
        <v>1200</v>
      </c>
      <c r="M139">
        <f t="shared" si="7"/>
        <v>799</v>
      </c>
      <c r="N139" s="10">
        <f t="shared" si="8"/>
        <v>0.39969984992496249</v>
      </c>
    </row>
    <row r="140" spans="1:14" x14ac:dyDescent="0.25">
      <c r="A140" t="s">
        <v>276</v>
      </c>
      <c r="B140" s="2">
        <v>45886</v>
      </c>
      <c r="C140" t="s">
        <v>277</v>
      </c>
      <c r="D140" t="s">
        <v>104</v>
      </c>
      <c r="E140" t="s">
        <v>40</v>
      </c>
      <c r="F140" t="s">
        <v>25</v>
      </c>
      <c r="G140">
        <v>1</v>
      </c>
      <c r="H140" s="3">
        <v>999</v>
      </c>
      <c r="I140" s="4">
        <v>0.05</v>
      </c>
      <c r="J140" t="s">
        <v>30</v>
      </c>
      <c r="K140">
        <f t="shared" si="6"/>
        <v>949.05</v>
      </c>
      <c r="L140">
        <f>_xlfn.XLOOKUP(D140,product_cost!A:A,product_cost!B:B)</f>
        <v>550</v>
      </c>
      <c r="M140">
        <f t="shared" si="7"/>
        <v>399.04999999999995</v>
      </c>
      <c r="N140" s="10">
        <f t="shared" si="8"/>
        <v>0.42047310468363097</v>
      </c>
    </row>
    <row r="141" spans="1:14" x14ac:dyDescent="0.25">
      <c r="A141" t="s">
        <v>278</v>
      </c>
      <c r="B141" s="2">
        <v>45822</v>
      </c>
      <c r="C141" t="s">
        <v>158</v>
      </c>
      <c r="D141" t="s">
        <v>62</v>
      </c>
      <c r="E141" t="s">
        <v>24</v>
      </c>
      <c r="F141" t="s">
        <v>25</v>
      </c>
      <c r="G141">
        <v>1</v>
      </c>
      <c r="H141" s="3">
        <v>1499</v>
      </c>
      <c r="I141" s="4">
        <v>0.05</v>
      </c>
      <c r="J141" t="s">
        <v>15</v>
      </c>
      <c r="K141">
        <f t="shared" si="6"/>
        <v>1424.05</v>
      </c>
      <c r="L141">
        <f>_xlfn.XLOOKUP(D141,product_cost!A:A,product_cost!B:B)</f>
        <v>800</v>
      </c>
      <c r="M141">
        <f t="shared" si="7"/>
        <v>624.04999999999995</v>
      </c>
      <c r="N141" s="10">
        <f t="shared" si="8"/>
        <v>0.43822197254309891</v>
      </c>
    </row>
    <row r="142" spans="1:14" x14ac:dyDescent="0.25">
      <c r="A142" t="s">
        <v>279</v>
      </c>
      <c r="B142" s="2">
        <v>45820</v>
      </c>
      <c r="C142" t="s">
        <v>168</v>
      </c>
      <c r="D142" t="s">
        <v>62</v>
      </c>
      <c r="E142" t="s">
        <v>24</v>
      </c>
      <c r="F142" t="s">
        <v>14</v>
      </c>
      <c r="G142">
        <v>4</v>
      </c>
      <c r="H142" s="3">
        <v>1499</v>
      </c>
      <c r="I142" s="4">
        <v>0.05</v>
      </c>
      <c r="J142" t="s">
        <v>30</v>
      </c>
      <c r="K142">
        <f t="shared" si="6"/>
        <v>5696.2</v>
      </c>
      <c r="L142">
        <f>_xlfn.XLOOKUP(D142,product_cost!A:A,product_cost!B:B)</f>
        <v>800</v>
      </c>
      <c r="M142">
        <f t="shared" si="7"/>
        <v>2496.1999999999998</v>
      </c>
      <c r="N142" s="10">
        <f t="shared" si="8"/>
        <v>0.43822197254309891</v>
      </c>
    </row>
    <row r="143" spans="1:14" x14ac:dyDescent="0.25">
      <c r="A143" t="s">
        <v>280</v>
      </c>
      <c r="B143" s="2">
        <v>45676</v>
      </c>
      <c r="C143" t="s">
        <v>81</v>
      </c>
      <c r="D143" t="s">
        <v>53</v>
      </c>
      <c r="E143" t="s">
        <v>40</v>
      </c>
      <c r="F143" t="s">
        <v>19</v>
      </c>
      <c r="G143">
        <v>4</v>
      </c>
      <c r="H143" s="3">
        <v>1799</v>
      </c>
      <c r="I143" s="4">
        <v>0</v>
      </c>
      <c r="J143" t="s">
        <v>30</v>
      </c>
      <c r="K143">
        <f t="shared" si="6"/>
        <v>7196</v>
      </c>
      <c r="L143">
        <f>_xlfn.XLOOKUP(D143,product_cost!A:A,product_cost!B:B)</f>
        <v>1000</v>
      </c>
      <c r="M143">
        <f t="shared" si="7"/>
        <v>3196</v>
      </c>
      <c r="N143" s="10">
        <f t="shared" si="8"/>
        <v>0.4441356309060589</v>
      </c>
    </row>
    <row r="144" spans="1:14" x14ac:dyDescent="0.25">
      <c r="A144" t="s">
        <v>281</v>
      </c>
      <c r="B144" s="2">
        <v>45709</v>
      </c>
      <c r="C144" t="s">
        <v>282</v>
      </c>
      <c r="D144" t="s">
        <v>104</v>
      </c>
      <c r="E144" t="s">
        <v>40</v>
      </c>
      <c r="F144" t="s">
        <v>14</v>
      </c>
      <c r="G144">
        <v>1</v>
      </c>
      <c r="H144" s="3">
        <v>999</v>
      </c>
      <c r="I144" s="4">
        <v>0</v>
      </c>
      <c r="J144" t="s">
        <v>15</v>
      </c>
      <c r="K144">
        <f t="shared" si="6"/>
        <v>999</v>
      </c>
      <c r="L144">
        <f>_xlfn.XLOOKUP(D144,product_cost!A:A,product_cost!B:B)</f>
        <v>550</v>
      </c>
      <c r="M144">
        <f t="shared" si="7"/>
        <v>449</v>
      </c>
      <c r="N144" s="10">
        <f t="shared" si="8"/>
        <v>0.44944944944944942</v>
      </c>
    </row>
    <row r="145" spans="1:14" x14ac:dyDescent="0.25">
      <c r="A145" t="s">
        <v>283</v>
      </c>
      <c r="B145" s="2">
        <v>45898</v>
      </c>
      <c r="C145" t="s">
        <v>119</v>
      </c>
      <c r="D145" t="s">
        <v>36</v>
      </c>
      <c r="E145" t="s">
        <v>29</v>
      </c>
      <c r="F145" t="s">
        <v>19</v>
      </c>
      <c r="G145">
        <v>2</v>
      </c>
      <c r="H145" s="3">
        <v>399</v>
      </c>
      <c r="I145" s="4">
        <v>0.05</v>
      </c>
      <c r="J145" t="s">
        <v>47</v>
      </c>
      <c r="K145">
        <f t="shared" si="6"/>
        <v>758.09999999999991</v>
      </c>
      <c r="L145">
        <f>_xlfn.XLOOKUP(D145,product_cost!A:A,product_cost!B:B)</f>
        <v>180</v>
      </c>
      <c r="M145">
        <f t="shared" si="7"/>
        <v>398.09999999999991</v>
      </c>
      <c r="N145" s="10">
        <f t="shared" si="8"/>
        <v>0.52512861100118713</v>
      </c>
    </row>
    <row r="146" spans="1:14" x14ac:dyDescent="0.25">
      <c r="A146" t="s">
        <v>284</v>
      </c>
      <c r="B146" s="2">
        <v>46003</v>
      </c>
      <c r="C146" t="s">
        <v>285</v>
      </c>
      <c r="D146" t="s">
        <v>39</v>
      </c>
      <c r="E146" t="s">
        <v>40</v>
      </c>
      <c r="F146" t="s">
        <v>25</v>
      </c>
      <c r="G146">
        <v>4</v>
      </c>
      <c r="H146" s="3">
        <v>2999</v>
      </c>
      <c r="I146" s="4">
        <v>0.1</v>
      </c>
      <c r="J146" t="s">
        <v>42</v>
      </c>
      <c r="K146">
        <f t="shared" si="6"/>
        <v>10796.4</v>
      </c>
      <c r="L146">
        <f>_xlfn.XLOOKUP(D146,product_cost!A:A,product_cost!B:B)</f>
        <v>1800</v>
      </c>
      <c r="M146">
        <f t="shared" si="7"/>
        <v>3596.3999999999996</v>
      </c>
      <c r="N146" s="10">
        <f t="shared" si="8"/>
        <v>0.33311103701233741</v>
      </c>
    </row>
    <row r="147" spans="1:14" x14ac:dyDescent="0.25">
      <c r="A147" t="s">
        <v>286</v>
      </c>
      <c r="B147" s="2">
        <v>45676</v>
      </c>
      <c r="C147" t="s">
        <v>243</v>
      </c>
      <c r="D147" t="s">
        <v>18</v>
      </c>
      <c r="E147" t="s">
        <v>13</v>
      </c>
      <c r="F147" t="s">
        <v>41</v>
      </c>
      <c r="G147">
        <v>1</v>
      </c>
      <c r="H147" s="3">
        <v>2499</v>
      </c>
      <c r="I147" s="4">
        <v>0.1</v>
      </c>
      <c r="J147" t="s">
        <v>20</v>
      </c>
      <c r="K147">
        <f t="shared" si="6"/>
        <v>2249.1</v>
      </c>
      <c r="L147">
        <f>_xlfn.XLOOKUP(D147,product_cost!A:A,product_cost!B:B)</f>
        <v>1600</v>
      </c>
      <c r="M147">
        <f t="shared" si="7"/>
        <v>649.09999999999991</v>
      </c>
      <c r="N147" s="10">
        <f t="shared" si="8"/>
        <v>0.28860433062113733</v>
      </c>
    </row>
    <row r="148" spans="1:14" x14ac:dyDescent="0.25">
      <c r="A148" t="s">
        <v>287</v>
      </c>
      <c r="B148" s="2">
        <v>45704</v>
      </c>
      <c r="C148" t="s">
        <v>156</v>
      </c>
      <c r="D148" t="s">
        <v>18</v>
      </c>
      <c r="E148" t="s">
        <v>13</v>
      </c>
      <c r="F148" t="s">
        <v>19</v>
      </c>
      <c r="G148">
        <v>3</v>
      </c>
      <c r="H148" s="3">
        <v>2499</v>
      </c>
      <c r="I148" s="4">
        <v>0.1</v>
      </c>
      <c r="J148" t="s">
        <v>30</v>
      </c>
      <c r="K148">
        <f t="shared" si="6"/>
        <v>6747.3</v>
      </c>
      <c r="L148">
        <f>_xlfn.XLOOKUP(D148,product_cost!A:A,product_cost!B:B)</f>
        <v>1600</v>
      </c>
      <c r="M148">
        <f t="shared" si="7"/>
        <v>1947.3000000000002</v>
      </c>
      <c r="N148" s="10">
        <f t="shared" si="8"/>
        <v>0.28860433062113738</v>
      </c>
    </row>
    <row r="149" spans="1:14" x14ac:dyDescent="0.25">
      <c r="A149" t="s">
        <v>288</v>
      </c>
      <c r="B149" s="2">
        <v>45743</v>
      </c>
      <c r="C149" t="s">
        <v>289</v>
      </c>
      <c r="D149" t="s">
        <v>28</v>
      </c>
      <c r="E149" t="s">
        <v>29</v>
      </c>
      <c r="F149" t="s">
        <v>19</v>
      </c>
      <c r="G149">
        <v>4</v>
      </c>
      <c r="H149" s="3">
        <v>599</v>
      </c>
      <c r="I149" s="4">
        <v>0</v>
      </c>
      <c r="J149" t="s">
        <v>47</v>
      </c>
      <c r="K149">
        <f t="shared" si="6"/>
        <v>2396</v>
      </c>
      <c r="L149">
        <f>_xlfn.XLOOKUP(D149,product_cost!A:A,product_cost!B:B)</f>
        <v>300</v>
      </c>
      <c r="M149">
        <f t="shared" si="7"/>
        <v>1196</v>
      </c>
      <c r="N149" s="10">
        <f t="shared" si="8"/>
        <v>0.4991652754590985</v>
      </c>
    </row>
    <row r="150" spans="1:14" x14ac:dyDescent="0.25">
      <c r="A150" t="s">
        <v>290</v>
      </c>
      <c r="B150" s="2">
        <v>45841</v>
      </c>
      <c r="C150" t="s">
        <v>291</v>
      </c>
      <c r="D150" t="s">
        <v>39</v>
      </c>
      <c r="E150" t="s">
        <v>40</v>
      </c>
      <c r="F150" t="s">
        <v>14</v>
      </c>
      <c r="G150">
        <v>1</v>
      </c>
      <c r="H150" s="3">
        <v>2999</v>
      </c>
      <c r="I150" s="4">
        <v>0.05</v>
      </c>
      <c r="J150" t="s">
        <v>20</v>
      </c>
      <c r="K150">
        <f t="shared" si="6"/>
        <v>2849.0499999999997</v>
      </c>
      <c r="L150">
        <f>_xlfn.XLOOKUP(D150,product_cost!A:A,product_cost!B:B)</f>
        <v>1800</v>
      </c>
      <c r="M150">
        <f t="shared" si="7"/>
        <v>1049.0499999999997</v>
      </c>
      <c r="N150" s="10">
        <f t="shared" si="8"/>
        <v>0.36821045611695119</v>
      </c>
    </row>
    <row r="151" spans="1:14" x14ac:dyDescent="0.25">
      <c r="A151" t="s">
        <v>292</v>
      </c>
      <c r="B151" s="2">
        <v>45747</v>
      </c>
      <c r="C151" t="s">
        <v>113</v>
      </c>
      <c r="D151" t="s">
        <v>23</v>
      </c>
      <c r="E151" t="s">
        <v>24</v>
      </c>
      <c r="F151" t="s">
        <v>14</v>
      </c>
      <c r="G151">
        <v>3</v>
      </c>
      <c r="H151" s="3">
        <v>3999</v>
      </c>
      <c r="I151" s="4">
        <v>0.1</v>
      </c>
      <c r="J151" t="s">
        <v>30</v>
      </c>
      <c r="K151">
        <f t="shared" si="6"/>
        <v>10797.300000000001</v>
      </c>
      <c r="L151">
        <f>_xlfn.XLOOKUP(D151,product_cost!A:A,product_cost!B:B)</f>
        <v>2600</v>
      </c>
      <c r="M151">
        <f t="shared" si="7"/>
        <v>2997.3000000000011</v>
      </c>
      <c r="N151" s="10">
        <f t="shared" si="8"/>
        <v>0.27759717707204584</v>
      </c>
    </row>
    <row r="152" spans="1:14" x14ac:dyDescent="0.25">
      <c r="A152" t="s">
        <v>293</v>
      </c>
      <c r="B152" s="2">
        <v>45956</v>
      </c>
      <c r="C152" t="s">
        <v>294</v>
      </c>
      <c r="D152" t="s">
        <v>65</v>
      </c>
      <c r="E152" t="s">
        <v>29</v>
      </c>
      <c r="F152" t="s">
        <v>41</v>
      </c>
      <c r="G152">
        <v>2</v>
      </c>
      <c r="H152" s="3">
        <v>1299</v>
      </c>
      <c r="I152" s="4">
        <v>0</v>
      </c>
      <c r="J152" t="s">
        <v>15</v>
      </c>
      <c r="K152">
        <f t="shared" si="6"/>
        <v>2598</v>
      </c>
      <c r="L152">
        <f>_xlfn.XLOOKUP(D152,product_cost!A:A,product_cost!B:B)</f>
        <v>750</v>
      </c>
      <c r="M152">
        <f t="shared" si="7"/>
        <v>1098</v>
      </c>
      <c r="N152" s="10">
        <f t="shared" si="8"/>
        <v>0.42263279445727481</v>
      </c>
    </row>
    <row r="153" spans="1:14" x14ac:dyDescent="0.25">
      <c r="A153" t="s">
        <v>295</v>
      </c>
      <c r="B153" s="2">
        <v>45896</v>
      </c>
      <c r="C153" t="s">
        <v>296</v>
      </c>
      <c r="D153" t="s">
        <v>50</v>
      </c>
      <c r="E153" t="s">
        <v>24</v>
      </c>
      <c r="F153" t="s">
        <v>41</v>
      </c>
      <c r="G153">
        <v>2</v>
      </c>
      <c r="H153" s="3">
        <v>799</v>
      </c>
      <c r="I153" s="4">
        <v>0</v>
      </c>
      <c r="J153" t="s">
        <v>42</v>
      </c>
      <c r="K153">
        <f t="shared" si="6"/>
        <v>1598</v>
      </c>
      <c r="L153">
        <f>_xlfn.XLOOKUP(D153,product_cost!A:A,product_cost!B:B)</f>
        <v>400</v>
      </c>
      <c r="M153">
        <f t="shared" si="7"/>
        <v>798</v>
      </c>
      <c r="N153" s="10">
        <f t="shared" si="8"/>
        <v>0.49937421777221525</v>
      </c>
    </row>
    <row r="154" spans="1:14" x14ac:dyDescent="0.25">
      <c r="A154" t="s">
        <v>297</v>
      </c>
      <c r="B154" s="2">
        <v>45811</v>
      </c>
      <c r="C154" t="s">
        <v>135</v>
      </c>
      <c r="D154" t="s">
        <v>39</v>
      </c>
      <c r="E154" t="s">
        <v>40</v>
      </c>
      <c r="F154" t="s">
        <v>41</v>
      </c>
      <c r="G154">
        <v>2</v>
      </c>
      <c r="H154" s="3">
        <v>2999</v>
      </c>
      <c r="I154" s="4">
        <v>0.05</v>
      </c>
      <c r="J154" t="s">
        <v>20</v>
      </c>
      <c r="K154">
        <f t="shared" si="6"/>
        <v>5698.0999999999995</v>
      </c>
      <c r="L154">
        <f>_xlfn.XLOOKUP(D154,product_cost!A:A,product_cost!B:B)</f>
        <v>1800</v>
      </c>
      <c r="M154">
        <f t="shared" si="7"/>
        <v>2098.0999999999995</v>
      </c>
      <c r="N154" s="10">
        <f t="shared" si="8"/>
        <v>0.36821045611695119</v>
      </c>
    </row>
    <row r="155" spans="1:14" x14ac:dyDescent="0.25">
      <c r="A155" t="s">
        <v>298</v>
      </c>
      <c r="B155" s="2">
        <v>45854</v>
      </c>
      <c r="C155" t="s">
        <v>229</v>
      </c>
      <c r="D155" t="s">
        <v>18</v>
      </c>
      <c r="E155" t="s">
        <v>13</v>
      </c>
      <c r="F155" t="s">
        <v>41</v>
      </c>
      <c r="G155">
        <v>1</v>
      </c>
      <c r="H155" s="3">
        <v>2499</v>
      </c>
      <c r="I155" s="4">
        <v>0.05</v>
      </c>
      <c r="J155" t="s">
        <v>47</v>
      </c>
      <c r="K155">
        <f t="shared" si="6"/>
        <v>2374.0499999999997</v>
      </c>
      <c r="L155">
        <f>_xlfn.XLOOKUP(D155,product_cost!A:A,product_cost!B:B)</f>
        <v>1600</v>
      </c>
      <c r="M155">
        <f t="shared" si="7"/>
        <v>774.04999999999973</v>
      </c>
      <c r="N155" s="10">
        <f t="shared" si="8"/>
        <v>0.3260462079568669</v>
      </c>
    </row>
    <row r="156" spans="1:14" x14ac:dyDescent="0.25">
      <c r="A156" t="s">
        <v>299</v>
      </c>
      <c r="B156" s="2">
        <v>45669</v>
      </c>
      <c r="C156" t="s">
        <v>150</v>
      </c>
      <c r="D156" t="s">
        <v>39</v>
      </c>
      <c r="E156" t="s">
        <v>40</v>
      </c>
      <c r="F156" t="s">
        <v>19</v>
      </c>
      <c r="G156">
        <v>1</v>
      </c>
      <c r="H156" s="3">
        <v>2999</v>
      </c>
      <c r="I156" s="4">
        <v>0.05</v>
      </c>
      <c r="J156" t="s">
        <v>42</v>
      </c>
      <c r="K156">
        <f t="shared" si="6"/>
        <v>2849.0499999999997</v>
      </c>
      <c r="L156">
        <f>_xlfn.XLOOKUP(D156,product_cost!A:A,product_cost!B:B)</f>
        <v>1800</v>
      </c>
      <c r="M156">
        <f t="shared" si="7"/>
        <v>1049.0499999999997</v>
      </c>
      <c r="N156" s="10">
        <f t="shared" si="8"/>
        <v>0.36821045611695119</v>
      </c>
    </row>
    <row r="157" spans="1:14" x14ac:dyDescent="0.25">
      <c r="A157" t="s">
        <v>300</v>
      </c>
      <c r="B157" s="2">
        <v>45912</v>
      </c>
      <c r="C157" t="s">
        <v>296</v>
      </c>
      <c r="D157" t="s">
        <v>65</v>
      </c>
      <c r="E157" t="s">
        <v>29</v>
      </c>
      <c r="F157" t="s">
        <v>14</v>
      </c>
      <c r="G157">
        <v>2</v>
      </c>
      <c r="H157" s="3">
        <v>1299</v>
      </c>
      <c r="I157" s="4">
        <v>0.05</v>
      </c>
      <c r="J157" t="s">
        <v>42</v>
      </c>
      <c r="K157">
        <f t="shared" si="6"/>
        <v>2468.1</v>
      </c>
      <c r="L157">
        <f>_xlfn.XLOOKUP(D157,product_cost!A:A,product_cost!B:B)</f>
        <v>750</v>
      </c>
      <c r="M157">
        <f t="shared" si="7"/>
        <v>968.09999999999991</v>
      </c>
      <c r="N157" s="10">
        <f t="shared" si="8"/>
        <v>0.39224504679713135</v>
      </c>
    </row>
    <row r="158" spans="1:14" x14ac:dyDescent="0.25">
      <c r="A158" t="s">
        <v>301</v>
      </c>
      <c r="B158" s="2">
        <v>45786</v>
      </c>
      <c r="C158" t="s">
        <v>302</v>
      </c>
      <c r="D158" t="s">
        <v>62</v>
      </c>
      <c r="E158" t="s">
        <v>24</v>
      </c>
      <c r="F158" t="s">
        <v>14</v>
      </c>
      <c r="G158">
        <v>3</v>
      </c>
      <c r="H158" s="3">
        <v>1499</v>
      </c>
      <c r="I158" s="4">
        <v>0.1</v>
      </c>
      <c r="J158" t="s">
        <v>15</v>
      </c>
      <c r="K158">
        <f t="shared" si="6"/>
        <v>4047.3</v>
      </c>
      <c r="L158">
        <f>_xlfn.XLOOKUP(D158,product_cost!A:A,product_cost!B:B)</f>
        <v>800</v>
      </c>
      <c r="M158">
        <f t="shared" si="7"/>
        <v>1647.3000000000002</v>
      </c>
      <c r="N158" s="10">
        <f t="shared" si="8"/>
        <v>0.40701208212882667</v>
      </c>
    </row>
    <row r="159" spans="1:14" x14ac:dyDescent="0.25">
      <c r="A159" t="s">
        <v>303</v>
      </c>
      <c r="B159" s="2">
        <v>45979</v>
      </c>
      <c r="C159" t="s">
        <v>250</v>
      </c>
      <c r="D159" t="s">
        <v>12</v>
      </c>
      <c r="E159" t="s">
        <v>13</v>
      </c>
      <c r="F159" t="s">
        <v>41</v>
      </c>
      <c r="G159">
        <v>1</v>
      </c>
      <c r="H159" s="3">
        <v>1999</v>
      </c>
      <c r="I159" s="4">
        <v>0.05</v>
      </c>
      <c r="J159" t="s">
        <v>20</v>
      </c>
      <c r="K159">
        <f t="shared" si="6"/>
        <v>1899.05</v>
      </c>
      <c r="L159">
        <f>_xlfn.XLOOKUP(D159,product_cost!A:A,product_cost!B:B)</f>
        <v>1200</v>
      </c>
      <c r="M159">
        <f t="shared" si="7"/>
        <v>699.05</v>
      </c>
      <c r="N159" s="10">
        <f t="shared" si="8"/>
        <v>0.368105105184171</v>
      </c>
    </row>
    <row r="160" spans="1:14" x14ac:dyDescent="0.25">
      <c r="A160" t="s">
        <v>304</v>
      </c>
      <c r="B160" s="2">
        <v>45704</v>
      </c>
      <c r="C160" t="s">
        <v>72</v>
      </c>
      <c r="D160" t="s">
        <v>36</v>
      </c>
      <c r="E160" t="s">
        <v>29</v>
      </c>
      <c r="F160" t="s">
        <v>14</v>
      </c>
      <c r="G160">
        <v>2</v>
      </c>
      <c r="H160" s="3">
        <v>399</v>
      </c>
      <c r="I160" s="4">
        <v>0</v>
      </c>
      <c r="J160" t="s">
        <v>42</v>
      </c>
      <c r="K160">
        <f t="shared" si="6"/>
        <v>798</v>
      </c>
      <c r="L160">
        <f>_xlfn.XLOOKUP(D160,product_cost!A:A,product_cost!B:B)</f>
        <v>180</v>
      </c>
      <c r="M160">
        <f t="shared" si="7"/>
        <v>438</v>
      </c>
      <c r="N160" s="10">
        <f t="shared" si="8"/>
        <v>0.54887218045112784</v>
      </c>
    </row>
    <row r="161" spans="1:14" x14ac:dyDescent="0.25">
      <c r="A161" t="s">
        <v>305</v>
      </c>
      <c r="B161" s="2">
        <v>45845</v>
      </c>
      <c r="C161" t="s">
        <v>127</v>
      </c>
      <c r="D161" t="s">
        <v>53</v>
      </c>
      <c r="E161" t="s">
        <v>40</v>
      </c>
      <c r="F161" t="s">
        <v>41</v>
      </c>
      <c r="G161">
        <v>4</v>
      </c>
      <c r="H161" s="3">
        <v>1799</v>
      </c>
      <c r="I161" s="4">
        <v>0.15</v>
      </c>
      <c r="J161" t="s">
        <v>30</v>
      </c>
      <c r="K161">
        <f t="shared" si="6"/>
        <v>6116.5999999999995</v>
      </c>
      <c r="L161">
        <f>_xlfn.XLOOKUP(D161,product_cost!A:A,product_cost!B:B)</f>
        <v>1000</v>
      </c>
      <c r="M161">
        <f t="shared" si="7"/>
        <v>2116.5999999999995</v>
      </c>
      <c r="N161" s="10">
        <f t="shared" si="8"/>
        <v>0.34604191871301043</v>
      </c>
    </row>
    <row r="162" spans="1:14" x14ac:dyDescent="0.25">
      <c r="A162" t="s">
        <v>306</v>
      </c>
      <c r="B162" s="2">
        <v>45809</v>
      </c>
      <c r="C162" t="s">
        <v>190</v>
      </c>
      <c r="D162" t="s">
        <v>18</v>
      </c>
      <c r="E162" t="s">
        <v>13</v>
      </c>
      <c r="F162" t="s">
        <v>14</v>
      </c>
      <c r="G162">
        <v>2</v>
      </c>
      <c r="H162" s="3">
        <v>2499</v>
      </c>
      <c r="I162" s="4">
        <v>0</v>
      </c>
      <c r="J162" t="s">
        <v>30</v>
      </c>
      <c r="K162">
        <f t="shared" si="6"/>
        <v>4998</v>
      </c>
      <c r="L162">
        <f>_xlfn.XLOOKUP(D162,product_cost!A:A,product_cost!B:B)</f>
        <v>1600</v>
      </c>
      <c r="M162">
        <f t="shared" si="7"/>
        <v>1798</v>
      </c>
      <c r="N162" s="10">
        <f t="shared" si="8"/>
        <v>0.35974389755902358</v>
      </c>
    </row>
    <row r="163" spans="1:14" x14ac:dyDescent="0.25">
      <c r="A163" t="s">
        <v>307</v>
      </c>
      <c r="B163" s="2">
        <v>45943</v>
      </c>
      <c r="C163" t="s">
        <v>308</v>
      </c>
      <c r="D163" t="s">
        <v>18</v>
      </c>
      <c r="E163" t="s">
        <v>13</v>
      </c>
      <c r="F163" t="s">
        <v>19</v>
      </c>
      <c r="G163">
        <v>3</v>
      </c>
      <c r="H163" s="3">
        <v>2499</v>
      </c>
      <c r="I163" s="4">
        <v>0</v>
      </c>
      <c r="J163" t="s">
        <v>30</v>
      </c>
      <c r="K163">
        <f t="shared" si="6"/>
        <v>7497</v>
      </c>
      <c r="L163">
        <f>_xlfn.XLOOKUP(D163,product_cost!A:A,product_cost!B:B)</f>
        <v>1600</v>
      </c>
      <c r="M163">
        <f t="shared" si="7"/>
        <v>2697</v>
      </c>
      <c r="N163" s="10">
        <f t="shared" si="8"/>
        <v>0.35974389755902358</v>
      </c>
    </row>
    <row r="164" spans="1:14" x14ac:dyDescent="0.25">
      <c r="A164" t="s">
        <v>309</v>
      </c>
      <c r="B164" s="2">
        <v>45846</v>
      </c>
      <c r="C164" t="s">
        <v>170</v>
      </c>
      <c r="D164" t="s">
        <v>62</v>
      </c>
      <c r="E164" t="s">
        <v>24</v>
      </c>
      <c r="F164" t="s">
        <v>41</v>
      </c>
      <c r="G164">
        <v>2</v>
      </c>
      <c r="H164" s="3">
        <v>1499</v>
      </c>
      <c r="I164" s="4">
        <v>0.05</v>
      </c>
      <c r="J164" t="s">
        <v>15</v>
      </c>
      <c r="K164">
        <f t="shared" si="6"/>
        <v>2848.1</v>
      </c>
      <c r="L164">
        <f>_xlfn.XLOOKUP(D164,product_cost!A:A,product_cost!B:B)</f>
        <v>800</v>
      </c>
      <c r="M164">
        <f t="shared" si="7"/>
        <v>1248.0999999999999</v>
      </c>
      <c r="N164" s="10">
        <f t="shared" si="8"/>
        <v>0.43822197254309891</v>
      </c>
    </row>
    <row r="165" spans="1:14" x14ac:dyDescent="0.25">
      <c r="A165" t="s">
        <v>310</v>
      </c>
      <c r="B165" s="2">
        <v>46003</v>
      </c>
      <c r="C165" t="s">
        <v>311</v>
      </c>
      <c r="D165" t="s">
        <v>104</v>
      </c>
      <c r="E165" t="s">
        <v>40</v>
      </c>
      <c r="F165" t="s">
        <v>41</v>
      </c>
      <c r="G165">
        <v>1</v>
      </c>
      <c r="H165" s="3">
        <v>999</v>
      </c>
      <c r="I165" s="4">
        <v>0.15</v>
      </c>
      <c r="J165" t="s">
        <v>42</v>
      </c>
      <c r="K165">
        <f t="shared" si="6"/>
        <v>849.15</v>
      </c>
      <c r="L165">
        <f>_xlfn.XLOOKUP(D165,product_cost!A:A,product_cost!B:B)</f>
        <v>550</v>
      </c>
      <c r="M165">
        <f t="shared" si="7"/>
        <v>299.14999999999998</v>
      </c>
      <c r="N165" s="10">
        <f t="shared" si="8"/>
        <v>0.35229346994052874</v>
      </c>
    </row>
    <row r="166" spans="1:14" x14ac:dyDescent="0.25">
      <c r="A166" t="s">
        <v>312</v>
      </c>
      <c r="B166" s="2">
        <v>45771</v>
      </c>
      <c r="C166" t="s">
        <v>250</v>
      </c>
      <c r="D166" t="s">
        <v>18</v>
      </c>
      <c r="E166" t="s">
        <v>13</v>
      </c>
      <c r="F166" t="s">
        <v>41</v>
      </c>
      <c r="G166">
        <v>2</v>
      </c>
      <c r="H166" s="3">
        <v>2499</v>
      </c>
      <c r="I166" s="4">
        <v>0.05</v>
      </c>
      <c r="J166" t="s">
        <v>30</v>
      </c>
      <c r="K166">
        <f t="shared" si="6"/>
        <v>4748.0999999999995</v>
      </c>
      <c r="L166">
        <f>_xlfn.XLOOKUP(D166,product_cost!A:A,product_cost!B:B)</f>
        <v>1600</v>
      </c>
      <c r="M166">
        <f t="shared" si="7"/>
        <v>1548.0999999999995</v>
      </c>
      <c r="N166" s="10">
        <f t="shared" si="8"/>
        <v>0.3260462079568669</v>
      </c>
    </row>
    <row r="167" spans="1:14" x14ac:dyDescent="0.25">
      <c r="A167" t="s">
        <v>313</v>
      </c>
      <c r="B167" s="2">
        <v>45717</v>
      </c>
      <c r="C167" t="s">
        <v>314</v>
      </c>
      <c r="D167" t="s">
        <v>12</v>
      </c>
      <c r="E167" t="s">
        <v>13</v>
      </c>
      <c r="F167" t="s">
        <v>25</v>
      </c>
      <c r="G167">
        <v>4</v>
      </c>
      <c r="H167" s="3">
        <v>1999</v>
      </c>
      <c r="I167" s="4">
        <v>0</v>
      </c>
      <c r="J167" t="s">
        <v>15</v>
      </c>
      <c r="K167">
        <f t="shared" si="6"/>
        <v>7996</v>
      </c>
      <c r="L167">
        <f>_xlfn.XLOOKUP(D167,product_cost!A:A,product_cost!B:B)</f>
        <v>1200</v>
      </c>
      <c r="M167">
        <f t="shared" si="7"/>
        <v>3196</v>
      </c>
      <c r="N167" s="10">
        <f t="shared" si="8"/>
        <v>0.39969984992496249</v>
      </c>
    </row>
    <row r="168" spans="1:14" x14ac:dyDescent="0.25">
      <c r="A168" t="s">
        <v>315</v>
      </c>
      <c r="B168" s="2">
        <v>45707</v>
      </c>
      <c r="C168" t="s">
        <v>316</v>
      </c>
      <c r="D168" t="s">
        <v>53</v>
      </c>
      <c r="E168" t="s">
        <v>40</v>
      </c>
      <c r="F168" t="s">
        <v>25</v>
      </c>
      <c r="G168">
        <v>1</v>
      </c>
      <c r="H168" s="3">
        <v>1799</v>
      </c>
      <c r="I168" s="4">
        <v>0.05</v>
      </c>
      <c r="J168" t="s">
        <v>42</v>
      </c>
      <c r="K168">
        <f t="shared" si="6"/>
        <v>1709.05</v>
      </c>
      <c r="L168">
        <f>_xlfn.XLOOKUP(D168,product_cost!A:A,product_cost!B:B)</f>
        <v>1000</v>
      </c>
      <c r="M168">
        <f t="shared" si="7"/>
        <v>709.05</v>
      </c>
      <c r="N168" s="10">
        <f t="shared" si="8"/>
        <v>0.41487961148006203</v>
      </c>
    </row>
    <row r="169" spans="1:14" x14ac:dyDescent="0.25">
      <c r="A169" t="s">
        <v>317</v>
      </c>
      <c r="B169" s="2">
        <v>45737</v>
      </c>
      <c r="C169" t="s">
        <v>182</v>
      </c>
      <c r="D169" t="s">
        <v>50</v>
      </c>
      <c r="E169" t="s">
        <v>24</v>
      </c>
      <c r="F169" t="s">
        <v>25</v>
      </c>
      <c r="G169">
        <v>1</v>
      </c>
      <c r="H169" s="3">
        <v>799</v>
      </c>
      <c r="I169" s="4">
        <v>0.05</v>
      </c>
      <c r="J169" t="s">
        <v>47</v>
      </c>
      <c r="K169">
        <f t="shared" si="6"/>
        <v>759.05</v>
      </c>
      <c r="L169">
        <f>_xlfn.XLOOKUP(D169,product_cost!A:A,product_cost!B:B)</f>
        <v>400</v>
      </c>
      <c r="M169">
        <f t="shared" si="7"/>
        <v>359.04999999999995</v>
      </c>
      <c r="N169" s="10">
        <f t="shared" si="8"/>
        <v>0.47302549239180552</v>
      </c>
    </row>
    <row r="170" spans="1:14" x14ac:dyDescent="0.25">
      <c r="A170" t="s">
        <v>318</v>
      </c>
      <c r="B170" s="2">
        <v>45674</v>
      </c>
      <c r="C170" t="s">
        <v>55</v>
      </c>
      <c r="D170" t="s">
        <v>36</v>
      </c>
      <c r="E170" t="s">
        <v>29</v>
      </c>
      <c r="F170" t="s">
        <v>14</v>
      </c>
      <c r="G170">
        <v>1</v>
      </c>
      <c r="H170" s="3">
        <v>399</v>
      </c>
      <c r="I170" s="4">
        <v>0.05</v>
      </c>
      <c r="J170" t="s">
        <v>47</v>
      </c>
      <c r="K170">
        <f t="shared" si="6"/>
        <v>379.04999999999995</v>
      </c>
      <c r="L170">
        <f>_xlfn.XLOOKUP(D170,product_cost!A:A,product_cost!B:B)</f>
        <v>180</v>
      </c>
      <c r="M170">
        <f t="shared" si="7"/>
        <v>199.04999999999995</v>
      </c>
      <c r="N170" s="10">
        <f t="shared" si="8"/>
        <v>0.52512861100118713</v>
      </c>
    </row>
    <row r="171" spans="1:14" x14ac:dyDescent="0.25">
      <c r="A171" t="s">
        <v>319</v>
      </c>
      <c r="B171" s="2">
        <v>45708</v>
      </c>
      <c r="C171" t="s">
        <v>237</v>
      </c>
      <c r="D171" t="s">
        <v>36</v>
      </c>
      <c r="E171" t="s">
        <v>29</v>
      </c>
      <c r="F171" t="s">
        <v>41</v>
      </c>
      <c r="G171">
        <v>2</v>
      </c>
      <c r="H171" s="3">
        <v>399</v>
      </c>
      <c r="I171" s="4">
        <v>0.2</v>
      </c>
      <c r="J171" t="s">
        <v>15</v>
      </c>
      <c r="K171">
        <f t="shared" si="6"/>
        <v>638.40000000000009</v>
      </c>
      <c r="L171">
        <f>_xlfn.XLOOKUP(D171,product_cost!A:A,product_cost!B:B)</f>
        <v>180</v>
      </c>
      <c r="M171">
        <f t="shared" si="7"/>
        <v>278.40000000000009</v>
      </c>
      <c r="N171" s="10">
        <f t="shared" si="8"/>
        <v>0.43609022556390986</v>
      </c>
    </row>
    <row r="172" spans="1:14" x14ac:dyDescent="0.25">
      <c r="A172" t="s">
        <v>320</v>
      </c>
      <c r="B172" s="2">
        <v>45861</v>
      </c>
      <c r="C172" t="s">
        <v>321</v>
      </c>
      <c r="D172" t="s">
        <v>65</v>
      </c>
      <c r="E172" t="s">
        <v>29</v>
      </c>
      <c r="F172" t="s">
        <v>25</v>
      </c>
      <c r="G172">
        <v>4</v>
      </c>
      <c r="H172" s="3">
        <v>1299</v>
      </c>
      <c r="I172" s="4">
        <v>0.15</v>
      </c>
      <c r="J172" t="s">
        <v>15</v>
      </c>
      <c r="K172">
        <f t="shared" si="6"/>
        <v>4416.5999999999995</v>
      </c>
      <c r="L172">
        <f>_xlfn.XLOOKUP(D172,product_cost!A:A,product_cost!B:B)</f>
        <v>750</v>
      </c>
      <c r="M172">
        <f t="shared" si="7"/>
        <v>1416.5999999999995</v>
      </c>
      <c r="N172" s="10">
        <f t="shared" si="8"/>
        <v>0.32074446406738205</v>
      </c>
    </row>
    <row r="173" spans="1:14" x14ac:dyDescent="0.25">
      <c r="A173" t="s">
        <v>322</v>
      </c>
      <c r="B173" s="2">
        <v>45997</v>
      </c>
      <c r="C173" t="s">
        <v>123</v>
      </c>
      <c r="D173" t="s">
        <v>50</v>
      </c>
      <c r="E173" t="s">
        <v>24</v>
      </c>
      <c r="F173" t="s">
        <v>19</v>
      </c>
      <c r="G173">
        <v>2</v>
      </c>
      <c r="H173" s="3">
        <v>799</v>
      </c>
      <c r="I173" s="4">
        <v>0.2</v>
      </c>
      <c r="J173" t="s">
        <v>47</v>
      </c>
      <c r="K173">
        <f t="shared" si="6"/>
        <v>1278.4000000000001</v>
      </c>
      <c r="L173">
        <f>_xlfn.XLOOKUP(D173,product_cost!A:A,product_cost!B:B)</f>
        <v>400</v>
      </c>
      <c r="M173">
        <f t="shared" si="7"/>
        <v>478.40000000000009</v>
      </c>
      <c r="N173" s="10">
        <f t="shared" si="8"/>
        <v>0.37421777221526914</v>
      </c>
    </row>
    <row r="174" spans="1:14" x14ac:dyDescent="0.25">
      <c r="A174" t="s">
        <v>323</v>
      </c>
      <c r="B174" s="2">
        <v>45782</v>
      </c>
      <c r="C174" t="s">
        <v>81</v>
      </c>
      <c r="D174" t="s">
        <v>23</v>
      </c>
      <c r="E174" t="s">
        <v>24</v>
      </c>
      <c r="F174" t="s">
        <v>14</v>
      </c>
      <c r="G174">
        <v>1</v>
      </c>
      <c r="H174" s="3">
        <v>3999</v>
      </c>
      <c r="I174" s="4">
        <v>0.15</v>
      </c>
      <c r="J174" t="s">
        <v>42</v>
      </c>
      <c r="K174">
        <f t="shared" si="6"/>
        <v>3399.15</v>
      </c>
      <c r="L174">
        <f>_xlfn.XLOOKUP(D174,product_cost!A:A,product_cost!B:B)</f>
        <v>2600</v>
      </c>
      <c r="M174">
        <f t="shared" si="7"/>
        <v>799.15000000000009</v>
      </c>
      <c r="N174" s="10">
        <f t="shared" si="8"/>
        <v>0.23510289337040144</v>
      </c>
    </row>
    <row r="175" spans="1:14" x14ac:dyDescent="0.25">
      <c r="A175" t="s">
        <v>324</v>
      </c>
      <c r="B175" s="2">
        <v>45768</v>
      </c>
      <c r="C175" t="s">
        <v>311</v>
      </c>
      <c r="D175" t="s">
        <v>36</v>
      </c>
      <c r="E175" t="s">
        <v>29</v>
      </c>
      <c r="F175" t="s">
        <v>19</v>
      </c>
      <c r="G175">
        <v>3</v>
      </c>
      <c r="H175" s="3">
        <v>399</v>
      </c>
      <c r="I175" s="4">
        <v>0.1</v>
      </c>
      <c r="J175" t="s">
        <v>47</v>
      </c>
      <c r="K175">
        <f t="shared" si="6"/>
        <v>1077.3</v>
      </c>
      <c r="L175">
        <f>_xlfn.XLOOKUP(D175,product_cost!A:A,product_cost!B:B)</f>
        <v>180</v>
      </c>
      <c r="M175">
        <f t="shared" si="7"/>
        <v>537.29999999999995</v>
      </c>
      <c r="N175" s="10">
        <f t="shared" si="8"/>
        <v>0.49874686716791977</v>
      </c>
    </row>
    <row r="176" spans="1:14" x14ac:dyDescent="0.25">
      <c r="A176" t="s">
        <v>325</v>
      </c>
      <c r="B176" s="2">
        <v>45732</v>
      </c>
      <c r="C176" t="s">
        <v>326</v>
      </c>
      <c r="D176" t="s">
        <v>53</v>
      </c>
      <c r="E176" t="s">
        <v>40</v>
      </c>
      <c r="F176" t="s">
        <v>19</v>
      </c>
      <c r="G176">
        <v>1</v>
      </c>
      <c r="H176" s="3">
        <v>1799</v>
      </c>
      <c r="I176" s="4">
        <v>0</v>
      </c>
      <c r="J176" t="s">
        <v>20</v>
      </c>
      <c r="K176">
        <f t="shared" si="6"/>
        <v>1799</v>
      </c>
      <c r="L176">
        <f>_xlfn.XLOOKUP(D176,product_cost!A:A,product_cost!B:B)</f>
        <v>1000</v>
      </c>
      <c r="M176">
        <f t="shared" si="7"/>
        <v>799</v>
      </c>
      <c r="N176" s="10">
        <f t="shared" si="8"/>
        <v>0.4441356309060589</v>
      </c>
    </row>
    <row r="177" spans="1:14" x14ac:dyDescent="0.25">
      <c r="A177" t="s">
        <v>327</v>
      </c>
      <c r="B177" s="2">
        <v>45665</v>
      </c>
      <c r="C177" t="s">
        <v>328</v>
      </c>
      <c r="D177" t="s">
        <v>65</v>
      </c>
      <c r="E177" t="s">
        <v>29</v>
      </c>
      <c r="F177" t="s">
        <v>41</v>
      </c>
      <c r="G177">
        <v>2</v>
      </c>
      <c r="H177" s="3">
        <v>1299</v>
      </c>
      <c r="I177" s="4">
        <v>0</v>
      </c>
      <c r="J177" t="s">
        <v>15</v>
      </c>
      <c r="K177">
        <f t="shared" si="6"/>
        <v>2598</v>
      </c>
      <c r="L177">
        <f>_xlfn.XLOOKUP(D177,product_cost!A:A,product_cost!B:B)</f>
        <v>750</v>
      </c>
      <c r="M177">
        <f t="shared" si="7"/>
        <v>1098</v>
      </c>
      <c r="N177" s="10">
        <f t="shared" si="8"/>
        <v>0.42263279445727481</v>
      </c>
    </row>
    <row r="178" spans="1:14" x14ac:dyDescent="0.25">
      <c r="A178" t="s">
        <v>329</v>
      </c>
      <c r="B178" s="2">
        <v>45722</v>
      </c>
      <c r="C178" t="s">
        <v>330</v>
      </c>
      <c r="D178" t="s">
        <v>53</v>
      </c>
      <c r="E178" t="s">
        <v>40</v>
      </c>
      <c r="F178" t="s">
        <v>25</v>
      </c>
      <c r="G178">
        <v>1</v>
      </c>
      <c r="H178" s="3">
        <v>1799</v>
      </c>
      <c r="I178" s="4">
        <v>0</v>
      </c>
      <c r="J178" t="s">
        <v>47</v>
      </c>
      <c r="K178">
        <f t="shared" si="6"/>
        <v>1799</v>
      </c>
      <c r="L178">
        <f>_xlfn.XLOOKUP(D178,product_cost!A:A,product_cost!B:B)</f>
        <v>1000</v>
      </c>
      <c r="M178">
        <f t="shared" si="7"/>
        <v>799</v>
      </c>
      <c r="N178" s="10">
        <f t="shared" si="8"/>
        <v>0.4441356309060589</v>
      </c>
    </row>
    <row r="179" spans="1:14" x14ac:dyDescent="0.25">
      <c r="A179" t="s">
        <v>331</v>
      </c>
      <c r="B179" s="2">
        <v>45920</v>
      </c>
      <c r="C179" t="s">
        <v>215</v>
      </c>
      <c r="D179" t="s">
        <v>18</v>
      </c>
      <c r="E179" t="s">
        <v>13</v>
      </c>
      <c r="F179" t="s">
        <v>19</v>
      </c>
      <c r="G179">
        <v>2</v>
      </c>
      <c r="H179" s="3">
        <v>2499</v>
      </c>
      <c r="I179" s="4">
        <v>0</v>
      </c>
      <c r="J179" t="s">
        <v>42</v>
      </c>
      <c r="K179">
        <f t="shared" si="6"/>
        <v>4998</v>
      </c>
      <c r="L179">
        <f>_xlfn.XLOOKUP(D179,product_cost!A:A,product_cost!B:B)</f>
        <v>1600</v>
      </c>
      <c r="M179">
        <f t="shared" si="7"/>
        <v>1798</v>
      </c>
      <c r="N179" s="10">
        <f t="shared" si="8"/>
        <v>0.35974389755902358</v>
      </c>
    </row>
    <row r="180" spans="1:14" x14ac:dyDescent="0.25">
      <c r="A180" t="s">
        <v>332</v>
      </c>
      <c r="B180" s="2">
        <v>45812</v>
      </c>
      <c r="C180" t="s">
        <v>148</v>
      </c>
      <c r="D180" t="s">
        <v>50</v>
      </c>
      <c r="E180" t="s">
        <v>24</v>
      </c>
      <c r="F180" t="s">
        <v>25</v>
      </c>
      <c r="G180">
        <v>4</v>
      </c>
      <c r="H180" s="3">
        <v>799</v>
      </c>
      <c r="I180" s="4">
        <v>0</v>
      </c>
      <c r="J180" t="s">
        <v>30</v>
      </c>
      <c r="K180">
        <f t="shared" si="6"/>
        <v>3196</v>
      </c>
      <c r="L180">
        <f>_xlfn.XLOOKUP(D180,product_cost!A:A,product_cost!B:B)</f>
        <v>400</v>
      </c>
      <c r="M180">
        <f t="shared" si="7"/>
        <v>1596</v>
      </c>
      <c r="N180" s="10">
        <f t="shared" si="8"/>
        <v>0.49937421777221525</v>
      </c>
    </row>
    <row r="181" spans="1:14" x14ac:dyDescent="0.25">
      <c r="A181" t="s">
        <v>333</v>
      </c>
      <c r="B181" s="2">
        <v>45876</v>
      </c>
      <c r="C181" t="s">
        <v>237</v>
      </c>
      <c r="D181" t="s">
        <v>18</v>
      </c>
      <c r="E181" t="s">
        <v>13</v>
      </c>
      <c r="F181" t="s">
        <v>19</v>
      </c>
      <c r="G181">
        <v>2</v>
      </c>
      <c r="H181" s="3">
        <v>2499</v>
      </c>
      <c r="I181" s="4">
        <v>0.15</v>
      </c>
      <c r="J181" t="s">
        <v>15</v>
      </c>
      <c r="K181">
        <f t="shared" si="6"/>
        <v>4248.3</v>
      </c>
      <c r="L181">
        <f>_xlfn.XLOOKUP(D181,product_cost!A:A,product_cost!B:B)</f>
        <v>1600</v>
      </c>
      <c r="M181">
        <f t="shared" si="7"/>
        <v>1048.3000000000002</v>
      </c>
      <c r="N181" s="10">
        <f t="shared" si="8"/>
        <v>0.24675752654002781</v>
      </c>
    </row>
    <row r="182" spans="1:14" x14ac:dyDescent="0.25">
      <c r="A182" t="s">
        <v>334</v>
      </c>
      <c r="B182" s="2">
        <v>45822</v>
      </c>
      <c r="C182" t="s">
        <v>83</v>
      </c>
      <c r="D182" t="s">
        <v>33</v>
      </c>
      <c r="E182" t="s">
        <v>13</v>
      </c>
      <c r="F182" t="s">
        <v>41</v>
      </c>
      <c r="G182">
        <v>1</v>
      </c>
      <c r="H182" s="3">
        <v>3499</v>
      </c>
      <c r="I182" s="4">
        <v>0</v>
      </c>
      <c r="J182" t="s">
        <v>30</v>
      </c>
      <c r="K182">
        <f t="shared" si="6"/>
        <v>3499</v>
      </c>
      <c r="L182">
        <f>_xlfn.XLOOKUP(D182,product_cost!A:A,product_cost!B:B)</f>
        <v>2300</v>
      </c>
      <c r="M182">
        <f t="shared" si="7"/>
        <v>1199</v>
      </c>
      <c r="N182" s="10">
        <f t="shared" si="8"/>
        <v>0.34266933409545586</v>
      </c>
    </row>
    <row r="183" spans="1:14" x14ac:dyDescent="0.25">
      <c r="A183" t="s">
        <v>335</v>
      </c>
      <c r="B183" s="2">
        <v>45963</v>
      </c>
      <c r="C183" t="s">
        <v>127</v>
      </c>
      <c r="D183" t="s">
        <v>28</v>
      </c>
      <c r="E183" t="s">
        <v>29</v>
      </c>
      <c r="F183" t="s">
        <v>19</v>
      </c>
      <c r="G183">
        <v>2</v>
      </c>
      <c r="H183" s="3">
        <v>599</v>
      </c>
      <c r="I183" s="4">
        <v>0.1</v>
      </c>
      <c r="J183" t="s">
        <v>15</v>
      </c>
      <c r="K183">
        <f t="shared" si="6"/>
        <v>1078.2</v>
      </c>
      <c r="L183">
        <f>_xlfn.XLOOKUP(D183,product_cost!A:A,product_cost!B:B)</f>
        <v>300</v>
      </c>
      <c r="M183">
        <f t="shared" si="7"/>
        <v>478.20000000000005</v>
      </c>
      <c r="N183" s="10">
        <f t="shared" si="8"/>
        <v>0.4435169727323317</v>
      </c>
    </row>
    <row r="184" spans="1:14" x14ac:dyDescent="0.25">
      <c r="A184" t="s">
        <v>336</v>
      </c>
      <c r="B184" s="2">
        <v>45993</v>
      </c>
      <c r="C184" t="s">
        <v>199</v>
      </c>
      <c r="D184" t="s">
        <v>53</v>
      </c>
      <c r="E184" t="s">
        <v>40</v>
      </c>
      <c r="F184" t="s">
        <v>25</v>
      </c>
      <c r="G184">
        <v>2</v>
      </c>
      <c r="H184" s="3">
        <v>1799</v>
      </c>
      <c r="I184" s="4">
        <v>0</v>
      </c>
      <c r="J184" t="s">
        <v>20</v>
      </c>
      <c r="K184">
        <f t="shared" si="6"/>
        <v>3598</v>
      </c>
      <c r="L184">
        <f>_xlfn.XLOOKUP(D184,product_cost!A:A,product_cost!B:B)</f>
        <v>1000</v>
      </c>
      <c r="M184">
        <f t="shared" si="7"/>
        <v>1598</v>
      </c>
      <c r="N184" s="10">
        <f t="shared" si="8"/>
        <v>0.4441356309060589</v>
      </c>
    </row>
    <row r="185" spans="1:14" x14ac:dyDescent="0.25">
      <c r="A185" t="s">
        <v>337</v>
      </c>
      <c r="B185" s="2">
        <v>45869</v>
      </c>
      <c r="C185" t="s">
        <v>190</v>
      </c>
      <c r="D185" t="s">
        <v>104</v>
      </c>
      <c r="E185" t="s">
        <v>40</v>
      </c>
      <c r="F185" t="s">
        <v>41</v>
      </c>
      <c r="G185">
        <v>1</v>
      </c>
      <c r="H185" s="3">
        <v>999</v>
      </c>
      <c r="I185" s="4">
        <v>0.1</v>
      </c>
      <c r="J185" t="s">
        <v>30</v>
      </c>
      <c r="K185">
        <f t="shared" si="6"/>
        <v>899.1</v>
      </c>
      <c r="L185">
        <f>_xlfn.XLOOKUP(D185,product_cost!A:A,product_cost!B:B)</f>
        <v>550</v>
      </c>
      <c r="M185">
        <f t="shared" si="7"/>
        <v>349.1</v>
      </c>
      <c r="N185" s="10">
        <f t="shared" si="8"/>
        <v>0.38827716605494383</v>
      </c>
    </row>
    <row r="186" spans="1:14" x14ac:dyDescent="0.25">
      <c r="A186" t="s">
        <v>338</v>
      </c>
      <c r="B186" s="2">
        <v>45818</v>
      </c>
      <c r="C186" t="s">
        <v>339</v>
      </c>
      <c r="D186" t="s">
        <v>28</v>
      </c>
      <c r="E186" t="s">
        <v>29</v>
      </c>
      <c r="F186" t="s">
        <v>25</v>
      </c>
      <c r="G186">
        <v>1</v>
      </c>
      <c r="H186" s="3">
        <v>599</v>
      </c>
      <c r="I186" s="4">
        <v>0</v>
      </c>
      <c r="J186" t="s">
        <v>15</v>
      </c>
      <c r="K186">
        <f t="shared" si="6"/>
        <v>599</v>
      </c>
      <c r="L186">
        <f>_xlfn.XLOOKUP(D186,product_cost!A:A,product_cost!B:B)</f>
        <v>300</v>
      </c>
      <c r="M186">
        <f t="shared" si="7"/>
        <v>299</v>
      </c>
      <c r="N186" s="10">
        <f t="shared" si="8"/>
        <v>0.4991652754590985</v>
      </c>
    </row>
    <row r="187" spans="1:14" x14ac:dyDescent="0.25">
      <c r="A187" t="s">
        <v>340</v>
      </c>
      <c r="B187" s="2">
        <v>45704</v>
      </c>
      <c r="C187" t="s">
        <v>341</v>
      </c>
      <c r="D187" t="s">
        <v>18</v>
      </c>
      <c r="E187" t="s">
        <v>13</v>
      </c>
      <c r="F187" t="s">
        <v>41</v>
      </c>
      <c r="G187">
        <v>1</v>
      </c>
      <c r="H187" s="3">
        <v>2499</v>
      </c>
      <c r="I187" s="4">
        <v>0.1</v>
      </c>
      <c r="J187" t="s">
        <v>20</v>
      </c>
      <c r="K187">
        <f t="shared" si="6"/>
        <v>2249.1</v>
      </c>
      <c r="L187">
        <f>_xlfn.XLOOKUP(D187,product_cost!A:A,product_cost!B:B)</f>
        <v>1600</v>
      </c>
      <c r="M187">
        <f t="shared" si="7"/>
        <v>649.09999999999991</v>
      </c>
      <c r="N187" s="10">
        <f t="shared" si="8"/>
        <v>0.28860433062113733</v>
      </c>
    </row>
    <row r="188" spans="1:14" x14ac:dyDescent="0.25">
      <c r="A188" t="s">
        <v>342</v>
      </c>
      <c r="B188" s="2">
        <v>45942</v>
      </c>
      <c r="C188" t="s">
        <v>343</v>
      </c>
      <c r="D188" t="s">
        <v>23</v>
      </c>
      <c r="E188" t="s">
        <v>24</v>
      </c>
      <c r="F188" t="s">
        <v>19</v>
      </c>
      <c r="G188">
        <v>4</v>
      </c>
      <c r="H188" s="3">
        <v>3999</v>
      </c>
      <c r="I188" s="4">
        <v>0.05</v>
      </c>
      <c r="J188" t="s">
        <v>30</v>
      </c>
      <c r="K188">
        <f t="shared" si="6"/>
        <v>15196.199999999999</v>
      </c>
      <c r="L188">
        <f>_xlfn.XLOOKUP(D188,product_cost!A:A,product_cost!B:B)</f>
        <v>2600</v>
      </c>
      <c r="M188">
        <f t="shared" si="7"/>
        <v>4796.1999999999989</v>
      </c>
      <c r="N188" s="10">
        <f t="shared" si="8"/>
        <v>0.3156183782787802</v>
      </c>
    </row>
    <row r="189" spans="1:14" x14ac:dyDescent="0.25">
      <c r="A189" t="s">
        <v>344</v>
      </c>
      <c r="B189" s="2">
        <v>45839</v>
      </c>
      <c r="C189" t="s">
        <v>339</v>
      </c>
      <c r="D189" t="s">
        <v>39</v>
      </c>
      <c r="E189" t="s">
        <v>40</v>
      </c>
      <c r="F189" t="s">
        <v>41</v>
      </c>
      <c r="G189">
        <v>3</v>
      </c>
      <c r="H189" s="3">
        <v>2999</v>
      </c>
      <c r="I189" s="4">
        <v>0.1</v>
      </c>
      <c r="J189" t="s">
        <v>42</v>
      </c>
      <c r="K189">
        <f t="shared" si="6"/>
        <v>8097.3</v>
      </c>
      <c r="L189">
        <f>_xlfn.XLOOKUP(D189,product_cost!A:A,product_cost!B:B)</f>
        <v>1800</v>
      </c>
      <c r="M189">
        <f t="shared" si="7"/>
        <v>2697.3</v>
      </c>
      <c r="N189" s="10">
        <f t="shared" si="8"/>
        <v>0.33311103701233746</v>
      </c>
    </row>
    <row r="190" spans="1:14" x14ac:dyDescent="0.25">
      <c r="A190" t="s">
        <v>345</v>
      </c>
      <c r="B190" s="2">
        <v>45817</v>
      </c>
      <c r="C190" t="s">
        <v>186</v>
      </c>
      <c r="D190" t="s">
        <v>18</v>
      </c>
      <c r="E190" t="s">
        <v>13</v>
      </c>
      <c r="F190" t="s">
        <v>25</v>
      </c>
      <c r="G190">
        <v>2</v>
      </c>
      <c r="H190" s="3">
        <v>2499</v>
      </c>
      <c r="I190" s="4">
        <v>0</v>
      </c>
      <c r="J190" t="s">
        <v>20</v>
      </c>
      <c r="K190">
        <f t="shared" si="6"/>
        <v>4998</v>
      </c>
      <c r="L190">
        <f>_xlfn.XLOOKUP(D190,product_cost!A:A,product_cost!B:B)</f>
        <v>1600</v>
      </c>
      <c r="M190">
        <f t="shared" si="7"/>
        <v>1798</v>
      </c>
      <c r="N190" s="10">
        <f t="shared" si="8"/>
        <v>0.35974389755902358</v>
      </c>
    </row>
    <row r="191" spans="1:14" x14ac:dyDescent="0.25">
      <c r="A191" t="s">
        <v>346</v>
      </c>
      <c r="B191" s="2">
        <v>45713</v>
      </c>
      <c r="C191" t="s">
        <v>347</v>
      </c>
      <c r="D191" t="s">
        <v>53</v>
      </c>
      <c r="E191" t="s">
        <v>40</v>
      </c>
      <c r="F191" t="s">
        <v>14</v>
      </c>
      <c r="G191">
        <v>1</v>
      </c>
      <c r="H191" s="3">
        <v>1799</v>
      </c>
      <c r="I191" s="4">
        <v>0.1</v>
      </c>
      <c r="J191" t="s">
        <v>30</v>
      </c>
      <c r="K191">
        <f t="shared" si="6"/>
        <v>1619.1000000000001</v>
      </c>
      <c r="L191">
        <f>_xlfn.XLOOKUP(D191,product_cost!A:A,product_cost!B:B)</f>
        <v>1000</v>
      </c>
      <c r="M191">
        <f t="shared" si="7"/>
        <v>619.10000000000014</v>
      </c>
      <c r="N191" s="10">
        <f t="shared" si="8"/>
        <v>0.38237292322895439</v>
      </c>
    </row>
    <row r="192" spans="1:14" x14ac:dyDescent="0.25">
      <c r="A192" t="s">
        <v>348</v>
      </c>
      <c r="B192" s="2">
        <v>45945</v>
      </c>
      <c r="C192" t="s">
        <v>192</v>
      </c>
      <c r="D192" t="s">
        <v>23</v>
      </c>
      <c r="E192" t="s">
        <v>24</v>
      </c>
      <c r="F192" t="s">
        <v>41</v>
      </c>
      <c r="G192">
        <v>2</v>
      </c>
      <c r="H192" s="3">
        <v>3999</v>
      </c>
      <c r="I192" s="4">
        <v>0.05</v>
      </c>
      <c r="J192" t="s">
        <v>15</v>
      </c>
      <c r="K192">
        <f t="shared" si="6"/>
        <v>7598.0999999999995</v>
      </c>
      <c r="L192">
        <f>_xlfn.XLOOKUP(D192,product_cost!A:A,product_cost!B:B)</f>
        <v>2600</v>
      </c>
      <c r="M192">
        <f t="shared" si="7"/>
        <v>2398.0999999999995</v>
      </c>
      <c r="N192" s="10">
        <f t="shared" si="8"/>
        <v>0.3156183782787802</v>
      </c>
    </row>
    <row r="193" spans="1:14" x14ac:dyDescent="0.25">
      <c r="A193" t="s">
        <v>349</v>
      </c>
      <c r="B193" s="2">
        <v>45750</v>
      </c>
      <c r="C193" t="s">
        <v>350</v>
      </c>
      <c r="D193" t="s">
        <v>62</v>
      </c>
      <c r="E193" t="s">
        <v>24</v>
      </c>
      <c r="F193" t="s">
        <v>41</v>
      </c>
      <c r="G193">
        <v>3</v>
      </c>
      <c r="H193" s="3">
        <v>1499</v>
      </c>
      <c r="I193" s="4">
        <v>0.15</v>
      </c>
      <c r="J193" t="s">
        <v>15</v>
      </c>
      <c r="K193">
        <f t="shared" si="6"/>
        <v>3822.45</v>
      </c>
      <c r="L193">
        <f>_xlfn.XLOOKUP(D193,product_cost!A:A,product_cost!B:B)</f>
        <v>800</v>
      </c>
      <c r="M193">
        <f t="shared" si="7"/>
        <v>1422.4499999999998</v>
      </c>
      <c r="N193" s="10">
        <f t="shared" si="8"/>
        <v>0.3721304399011105</v>
      </c>
    </row>
    <row r="194" spans="1:14" x14ac:dyDescent="0.25">
      <c r="A194" t="s">
        <v>351</v>
      </c>
      <c r="B194" s="2">
        <v>45750</v>
      </c>
      <c r="C194" t="s">
        <v>294</v>
      </c>
      <c r="D194" t="s">
        <v>23</v>
      </c>
      <c r="E194" t="s">
        <v>24</v>
      </c>
      <c r="F194" t="s">
        <v>19</v>
      </c>
      <c r="G194">
        <v>2</v>
      </c>
      <c r="H194" s="3">
        <v>3999</v>
      </c>
      <c r="I194" s="4">
        <v>0</v>
      </c>
      <c r="J194" t="s">
        <v>15</v>
      </c>
      <c r="K194">
        <f t="shared" ref="K194:K257" si="9">G194*H194*(1-I194)</f>
        <v>7998</v>
      </c>
      <c r="L194">
        <f>_xlfn.XLOOKUP(D194,product_cost!A:A,product_cost!B:B)</f>
        <v>2600</v>
      </c>
      <c r="M194">
        <f t="shared" ref="M194:M257" si="10">K194-(G194*L194)</f>
        <v>2798</v>
      </c>
      <c r="N194" s="10">
        <f t="shared" ref="N194:N257" si="11">M194/K194</f>
        <v>0.34983745936484123</v>
      </c>
    </row>
    <row r="195" spans="1:14" x14ac:dyDescent="0.25">
      <c r="A195" t="s">
        <v>352</v>
      </c>
      <c r="B195" s="2">
        <v>45929</v>
      </c>
      <c r="C195" t="s">
        <v>353</v>
      </c>
      <c r="D195" t="s">
        <v>39</v>
      </c>
      <c r="E195" t="s">
        <v>40</v>
      </c>
      <c r="F195" t="s">
        <v>41</v>
      </c>
      <c r="G195">
        <v>1</v>
      </c>
      <c r="H195" s="3">
        <v>2999</v>
      </c>
      <c r="I195" s="4">
        <v>0</v>
      </c>
      <c r="J195" t="s">
        <v>47</v>
      </c>
      <c r="K195">
        <f t="shared" si="9"/>
        <v>2999</v>
      </c>
      <c r="L195">
        <f>_xlfn.XLOOKUP(D195,product_cost!A:A,product_cost!B:B)</f>
        <v>1800</v>
      </c>
      <c r="M195">
        <f t="shared" si="10"/>
        <v>1199</v>
      </c>
      <c r="N195" s="10">
        <f t="shared" si="11"/>
        <v>0.39979993331110369</v>
      </c>
    </row>
    <row r="196" spans="1:14" x14ac:dyDescent="0.25">
      <c r="A196" t="s">
        <v>354</v>
      </c>
      <c r="B196" s="2">
        <v>45824</v>
      </c>
      <c r="C196" t="s">
        <v>115</v>
      </c>
      <c r="D196" t="s">
        <v>23</v>
      </c>
      <c r="E196" t="s">
        <v>24</v>
      </c>
      <c r="F196" t="s">
        <v>14</v>
      </c>
      <c r="G196">
        <v>1</v>
      </c>
      <c r="H196" s="3">
        <v>3999</v>
      </c>
      <c r="I196" s="4">
        <v>0</v>
      </c>
      <c r="J196" t="s">
        <v>42</v>
      </c>
      <c r="K196">
        <f t="shared" si="9"/>
        <v>3999</v>
      </c>
      <c r="L196">
        <f>_xlfn.XLOOKUP(D196,product_cost!A:A,product_cost!B:B)</f>
        <v>2600</v>
      </c>
      <c r="M196">
        <f t="shared" si="10"/>
        <v>1399</v>
      </c>
      <c r="N196" s="10">
        <f t="shared" si="11"/>
        <v>0.34983745936484123</v>
      </c>
    </row>
    <row r="197" spans="1:14" x14ac:dyDescent="0.25">
      <c r="A197" t="s">
        <v>355</v>
      </c>
      <c r="B197" s="2">
        <v>45683</v>
      </c>
      <c r="C197" t="s">
        <v>170</v>
      </c>
      <c r="D197" t="s">
        <v>18</v>
      </c>
      <c r="E197" t="s">
        <v>13</v>
      </c>
      <c r="F197" t="s">
        <v>25</v>
      </c>
      <c r="G197">
        <v>1</v>
      </c>
      <c r="H197" s="3">
        <v>2499</v>
      </c>
      <c r="I197" s="4">
        <v>0.1</v>
      </c>
      <c r="J197" t="s">
        <v>42</v>
      </c>
      <c r="K197">
        <f t="shared" si="9"/>
        <v>2249.1</v>
      </c>
      <c r="L197">
        <f>_xlfn.XLOOKUP(D197,product_cost!A:A,product_cost!B:B)</f>
        <v>1600</v>
      </c>
      <c r="M197">
        <f t="shared" si="10"/>
        <v>649.09999999999991</v>
      </c>
      <c r="N197" s="10">
        <f t="shared" si="11"/>
        <v>0.28860433062113733</v>
      </c>
    </row>
    <row r="198" spans="1:14" x14ac:dyDescent="0.25">
      <c r="A198" t="s">
        <v>356</v>
      </c>
      <c r="B198" s="2">
        <v>45884</v>
      </c>
      <c r="C198" t="s">
        <v>182</v>
      </c>
      <c r="D198" t="s">
        <v>28</v>
      </c>
      <c r="E198" t="s">
        <v>29</v>
      </c>
      <c r="F198" t="s">
        <v>41</v>
      </c>
      <c r="G198">
        <v>1</v>
      </c>
      <c r="H198" s="3">
        <v>599</v>
      </c>
      <c r="I198" s="4">
        <v>0.05</v>
      </c>
      <c r="J198" t="s">
        <v>30</v>
      </c>
      <c r="K198">
        <f t="shared" si="9"/>
        <v>569.04999999999995</v>
      </c>
      <c r="L198">
        <f>_xlfn.XLOOKUP(D198,product_cost!A:A,product_cost!B:B)</f>
        <v>300</v>
      </c>
      <c r="M198">
        <f t="shared" si="10"/>
        <v>269.04999999999995</v>
      </c>
      <c r="N198" s="10">
        <f t="shared" si="11"/>
        <v>0.47280555311484046</v>
      </c>
    </row>
    <row r="199" spans="1:14" x14ac:dyDescent="0.25">
      <c r="A199" t="s">
        <v>357</v>
      </c>
      <c r="B199" s="2">
        <v>45714</v>
      </c>
      <c r="C199" t="s">
        <v>125</v>
      </c>
      <c r="D199" t="s">
        <v>50</v>
      </c>
      <c r="E199" t="s">
        <v>24</v>
      </c>
      <c r="F199" t="s">
        <v>41</v>
      </c>
      <c r="G199">
        <v>2</v>
      </c>
      <c r="H199" s="3">
        <v>799</v>
      </c>
      <c r="I199" s="4">
        <v>0.05</v>
      </c>
      <c r="J199" t="s">
        <v>15</v>
      </c>
      <c r="K199">
        <f t="shared" si="9"/>
        <v>1518.1</v>
      </c>
      <c r="L199">
        <f>_xlfn.XLOOKUP(D199,product_cost!A:A,product_cost!B:B)</f>
        <v>400</v>
      </c>
      <c r="M199">
        <f t="shared" si="10"/>
        <v>718.09999999999991</v>
      </c>
      <c r="N199" s="10">
        <f t="shared" si="11"/>
        <v>0.47302549239180552</v>
      </c>
    </row>
    <row r="200" spans="1:14" x14ac:dyDescent="0.25">
      <c r="A200" t="s">
        <v>358</v>
      </c>
      <c r="B200" s="2">
        <v>45770</v>
      </c>
      <c r="C200" t="s">
        <v>359</v>
      </c>
      <c r="D200" t="s">
        <v>23</v>
      </c>
      <c r="E200" t="s">
        <v>24</v>
      </c>
      <c r="F200" t="s">
        <v>14</v>
      </c>
      <c r="G200">
        <v>1</v>
      </c>
      <c r="H200" s="3">
        <v>3999</v>
      </c>
      <c r="I200" s="4">
        <v>0</v>
      </c>
      <c r="J200" t="s">
        <v>20</v>
      </c>
      <c r="K200">
        <f t="shared" si="9"/>
        <v>3999</v>
      </c>
      <c r="L200">
        <f>_xlfn.XLOOKUP(D200,product_cost!A:A,product_cost!B:B)</f>
        <v>2600</v>
      </c>
      <c r="M200">
        <f t="shared" si="10"/>
        <v>1399</v>
      </c>
      <c r="N200" s="10">
        <f t="shared" si="11"/>
        <v>0.34983745936484123</v>
      </c>
    </row>
    <row r="201" spans="1:14" x14ac:dyDescent="0.25">
      <c r="A201" t="s">
        <v>360</v>
      </c>
      <c r="B201" s="2">
        <v>45788</v>
      </c>
      <c r="C201" t="s">
        <v>361</v>
      </c>
      <c r="D201" t="s">
        <v>36</v>
      </c>
      <c r="E201" t="s">
        <v>29</v>
      </c>
      <c r="F201" t="s">
        <v>25</v>
      </c>
      <c r="G201">
        <v>1</v>
      </c>
      <c r="H201" s="3">
        <v>399</v>
      </c>
      <c r="I201" s="4">
        <v>0.05</v>
      </c>
      <c r="J201" t="s">
        <v>20</v>
      </c>
      <c r="K201">
        <f t="shared" si="9"/>
        <v>379.04999999999995</v>
      </c>
      <c r="L201">
        <f>_xlfn.XLOOKUP(D201,product_cost!A:A,product_cost!B:B)</f>
        <v>180</v>
      </c>
      <c r="M201">
        <f t="shared" si="10"/>
        <v>199.04999999999995</v>
      </c>
      <c r="N201" s="10">
        <f t="shared" si="11"/>
        <v>0.52512861100118713</v>
      </c>
    </row>
    <row r="202" spans="1:14" x14ac:dyDescent="0.25">
      <c r="A202" t="s">
        <v>362</v>
      </c>
      <c r="B202" s="2">
        <v>45724</v>
      </c>
      <c r="C202" t="s">
        <v>46</v>
      </c>
      <c r="D202" t="s">
        <v>53</v>
      </c>
      <c r="E202" t="s">
        <v>40</v>
      </c>
      <c r="F202" t="s">
        <v>41</v>
      </c>
      <c r="G202">
        <v>2</v>
      </c>
      <c r="H202" s="3">
        <v>1799</v>
      </c>
      <c r="I202" s="4">
        <v>0.05</v>
      </c>
      <c r="J202" t="s">
        <v>15</v>
      </c>
      <c r="K202">
        <f t="shared" si="9"/>
        <v>3418.1</v>
      </c>
      <c r="L202">
        <f>_xlfn.XLOOKUP(D202,product_cost!A:A,product_cost!B:B)</f>
        <v>1000</v>
      </c>
      <c r="M202">
        <f t="shared" si="10"/>
        <v>1418.1</v>
      </c>
      <c r="N202" s="10">
        <f t="shared" si="11"/>
        <v>0.41487961148006203</v>
      </c>
    </row>
    <row r="203" spans="1:14" x14ac:dyDescent="0.25">
      <c r="A203" t="s">
        <v>363</v>
      </c>
      <c r="B203" s="2">
        <v>45861</v>
      </c>
      <c r="C203" t="s">
        <v>140</v>
      </c>
      <c r="D203" t="s">
        <v>39</v>
      </c>
      <c r="E203" t="s">
        <v>40</v>
      </c>
      <c r="F203" t="s">
        <v>41</v>
      </c>
      <c r="G203">
        <v>1</v>
      </c>
      <c r="H203" s="3">
        <v>2999</v>
      </c>
      <c r="I203" s="4">
        <v>0.15</v>
      </c>
      <c r="J203" t="s">
        <v>42</v>
      </c>
      <c r="K203">
        <f t="shared" si="9"/>
        <v>2549.15</v>
      </c>
      <c r="L203">
        <f>_xlfn.XLOOKUP(D203,product_cost!A:A,product_cost!B:B)</f>
        <v>1800</v>
      </c>
      <c r="M203">
        <f t="shared" si="10"/>
        <v>749.15000000000009</v>
      </c>
      <c r="N203" s="10">
        <f t="shared" si="11"/>
        <v>0.29388227448365145</v>
      </c>
    </row>
    <row r="204" spans="1:14" x14ac:dyDescent="0.25">
      <c r="A204" t="s">
        <v>364</v>
      </c>
      <c r="B204" s="2">
        <v>45877</v>
      </c>
      <c r="C204" t="s">
        <v>93</v>
      </c>
      <c r="D204" t="s">
        <v>39</v>
      </c>
      <c r="E204" t="s">
        <v>40</v>
      </c>
      <c r="F204" t="s">
        <v>19</v>
      </c>
      <c r="G204">
        <v>2</v>
      </c>
      <c r="H204" s="3">
        <v>2999</v>
      </c>
      <c r="I204" s="4">
        <v>0.05</v>
      </c>
      <c r="J204" t="s">
        <v>30</v>
      </c>
      <c r="K204">
        <f t="shared" si="9"/>
        <v>5698.0999999999995</v>
      </c>
      <c r="L204">
        <f>_xlfn.XLOOKUP(D204,product_cost!A:A,product_cost!B:B)</f>
        <v>1800</v>
      </c>
      <c r="M204">
        <f t="shared" si="10"/>
        <v>2098.0999999999995</v>
      </c>
      <c r="N204" s="10">
        <f t="shared" si="11"/>
        <v>0.36821045611695119</v>
      </c>
    </row>
    <row r="205" spans="1:14" x14ac:dyDescent="0.25">
      <c r="A205" t="s">
        <v>365</v>
      </c>
      <c r="B205" s="2">
        <v>45668</v>
      </c>
      <c r="C205" t="s">
        <v>219</v>
      </c>
      <c r="D205" t="s">
        <v>33</v>
      </c>
      <c r="E205" t="s">
        <v>13</v>
      </c>
      <c r="F205" t="s">
        <v>41</v>
      </c>
      <c r="G205">
        <v>3</v>
      </c>
      <c r="H205" s="3">
        <v>3499</v>
      </c>
      <c r="I205" s="4">
        <v>0.1</v>
      </c>
      <c r="J205" t="s">
        <v>15</v>
      </c>
      <c r="K205">
        <f t="shared" si="9"/>
        <v>9447.3000000000011</v>
      </c>
      <c r="L205">
        <f>_xlfn.XLOOKUP(D205,product_cost!A:A,product_cost!B:B)</f>
        <v>2300</v>
      </c>
      <c r="M205">
        <f t="shared" si="10"/>
        <v>2547.3000000000011</v>
      </c>
      <c r="N205" s="10">
        <f t="shared" si="11"/>
        <v>0.26963259343939544</v>
      </c>
    </row>
    <row r="206" spans="1:14" x14ac:dyDescent="0.25">
      <c r="A206" t="s">
        <v>366</v>
      </c>
      <c r="B206" s="2">
        <v>45881</v>
      </c>
      <c r="C206" t="s">
        <v>205</v>
      </c>
      <c r="D206" t="s">
        <v>65</v>
      </c>
      <c r="E206" t="s">
        <v>29</v>
      </c>
      <c r="F206" t="s">
        <v>19</v>
      </c>
      <c r="G206">
        <v>1</v>
      </c>
      <c r="H206" s="3">
        <v>1299</v>
      </c>
      <c r="I206" s="4">
        <v>0.05</v>
      </c>
      <c r="J206" t="s">
        <v>30</v>
      </c>
      <c r="K206">
        <f t="shared" si="9"/>
        <v>1234.05</v>
      </c>
      <c r="L206">
        <f>_xlfn.XLOOKUP(D206,product_cost!A:A,product_cost!B:B)</f>
        <v>750</v>
      </c>
      <c r="M206">
        <f t="shared" si="10"/>
        <v>484.04999999999995</v>
      </c>
      <c r="N206" s="10">
        <f t="shared" si="11"/>
        <v>0.39224504679713135</v>
      </c>
    </row>
    <row r="207" spans="1:14" x14ac:dyDescent="0.25">
      <c r="A207" t="s">
        <v>367</v>
      </c>
      <c r="B207" s="2">
        <v>45816</v>
      </c>
      <c r="C207" t="s">
        <v>190</v>
      </c>
      <c r="D207" t="s">
        <v>65</v>
      </c>
      <c r="E207" t="s">
        <v>29</v>
      </c>
      <c r="F207" t="s">
        <v>19</v>
      </c>
      <c r="G207">
        <v>1</v>
      </c>
      <c r="H207" s="3">
        <v>1299</v>
      </c>
      <c r="I207" s="4">
        <v>0</v>
      </c>
      <c r="J207" t="s">
        <v>42</v>
      </c>
      <c r="K207">
        <f t="shared" si="9"/>
        <v>1299</v>
      </c>
      <c r="L207">
        <f>_xlfn.XLOOKUP(D207,product_cost!A:A,product_cost!B:B)</f>
        <v>750</v>
      </c>
      <c r="M207">
        <f t="shared" si="10"/>
        <v>549</v>
      </c>
      <c r="N207" s="10">
        <f t="shared" si="11"/>
        <v>0.42263279445727481</v>
      </c>
    </row>
    <row r="208" spans="1:14" x14ac:dyDescent="0.25">
      <c r="A208" t="s">
        <v>368</v>
      </c>
      <c r="B208" s="2">
        <v>45919</v>
      </c>
      <c r="C208" t="s">
        <v>98</v>
      </c>
      <c r="D208" t="s">
        <v>36</v>
      </c>
      <c r="E208" t="s">
        <v>29</v>
      </c>
      <c r="F208" t="s">
        <v>14</v>
      </c>
      <c r="G208">
        <v>1</v>
      </c>
      <c r="H208" s="3">
        <v>399</v>
      </c>
      <c r="I208" s="4">
        <v>0.2</v>
      </c>
      <c r="J208" t="s">
        <v>20</v>
      </c>
      <c r="K208">
        <f t="shared" si="9"/>
        <v>319.20000000000005</v>
      </c>
      <c r="L208">
        <f>_xlfn.XLOOKUP(D208,product_cost!A:A,product_cost!B:B)</f>
        <v>180</v>
      </c>
      <c r="M208">
        <f t="shared" si="10"/>
        <v>139.20000000000005</v>
      </c>
      <c r="N208" s="10">
        <f t="shared" si="11"/>
        <v>0.43609022556390986</v>
      </c>
    </row>
    <row r="209" spans="1:14" x14ac:dyDescent="0.25">
      <c r="A209" t="s">
        <v>369</v>
      </c>
      <c r="B209" s="2">
        <v>45710</v>
      </c>
      <c r="C209" t="s">
        <v>370</v>
      </c>
      <c r="D209" t="s">
        <v>28</v>
      </c>
      <c r="E209" t="s">
        <v>29</v>
      </c>
      <c r="F209" t="s">
        <v>19</v>
      </c>
      <c r="G209">
        <v>1</v>
      </c>
      <c r="H209" s="3">
        <v>599</v>
      </c>
      <c r="I209" s="4">
        <v>0.1</v>
      </c>
      <c r="J209" t="s">
        <v>20</v>
      </c>
      <c r="K209">
        <f t="shared" si="9"/>
        <v>539.1</v>
      </c>
      <c r="L209">
        <f>_xlfn.XLOOKUP(D209,product_cost!A:A,product_cost!B:B)</f>
        <v>300</v>
      </c>
      <c r="M209">
        <f t="shared" si="10"/>
        <v>239.10000000000002</v>
      </c>
      <c r="N209" s="10">
        <f t="shared" si="11"/>
        <v>0.4435169727323317</v>
      </c>
    </row>
    <row r="210" spans="1:14" x14ac:dyDescent="0.25">
      <c r="A210" t="s">
        <v>371</v>
      </c>
      <c r="B210" s="2">
        <v>45979</v>
      </c>
      <c r="C210" t="s">
        <v>255</v>
      </c>
      <c r="D210" t="s">
        <v>104</v>
      </c>
      <c r="E210" t="s">
        <v>40</v>
      </c>
      <c r="F210" t="s">
        <v>25</v>
      </c>
      <c r="G210">
        <v>3</v>
      </c>
      <c r="H210" s="3">
        <v>999</v>
      </c>
      <c r="I210" s="4">
        <v>0.1</v>
      </c>
      <c r="J210" t="s">
        <v>42</v>
      </c>
      <c r="K210">
        <f t="shared" si="9"/>
        <v>2697.3</v>
      </c>
      <c r="L210">
        <f>_xlfn.XLOOKUP(D210,product_cost!A:A,product_cost!B:B)</f>
        <v>550</v>
      </c>
      <c r="M210">
        <f t="shared" si="10"/>
        <v>1047.3000000000002</v>
      </c>
      <c r="N210" s="10">
        <f t="shared" si="11"/>
        <v>0.38827716605494389</v>
      </c>
    </row>
    <row r="211" spans="1:14" x14ac:dyDescent="0.25">
      <c r="A211" t="s">
        <v>372</v>
      </c>
      <c r="B211" s="2">
        <v>45987</v>
      </c>
      <c r="C211" t="s">
        <v>373</v>
      </c>
      <c r="D211" t="s">
        <v>23</v>
      </c>
      <c r="E211" t="s">
        <v>24</v>
      </c>
      <c r="F211" t="s">
        <v>41</v>
      </c>
      <c r="G211">
        <v>1</v>
      </c>
      <c r="H211" s="3">
        <v>3999</v>
      </c>
      <c r="I211" s="4">
        <v>0.2</v>
      </c>
      <c r="J211" t="s">
        <v>20</v>
      </c>
      <c r="K211">
        <f t="shared" si="9"/>
        <v>3199.2000000000003</v>
      </c>
      <c r="L211">
        <f>_xlfn.XLOOKUP(D211,product_cost!A:A,product_cost!B:B)</f>
        <v>2600</v>
      </c>
      <c r="M211">
        <f t="shared" si="10"/>
        <v>599.20000000000027</v>
      </c>
      <c r="N211" s="10">
        <f t="shared" si="11"/>
        <v>0.18729682420605159</v>
      </c>
    </row>
    <row r="212" spans="1:14" x14ac:dyDescent="0.25">
      <c r="A212" t="s">
        <v>374</v>
      </c>
      <c r="B212" s="2">
        <v>45883</v>
      </c>
      <c r="C212" t="s">
        <v>44</v>
      </c>
      <c r="D212" t="s">
        <v>104</v>
      </c>
      <c r="E212" t="s">
        <v>40</v>
      </c>
      <c r="F212" t="s">
        <v>41</v>
      </c>
      <c r="G212">
        <v>1</v>
      </c>
      <c r="H212" s="3">
        <v>999</v>
      </c>
      <c r="I212" s="4">
        <v>0</v>
      </c>
      <c r="J212" t="s">
        <v>42</v>
      </c>
      <c r="K212">
        <f t="shared" si="9"/>
        <v>999</v>
      </c>
      <c r="L212">
        <f>_xlfn.XLOOKUP(D212,product_cost!A:A,product_cost!B:B)</f>
        <v>550</v>
      </c>
      <c r="M212">
        <f t="shared" si="10"/>
        <v>449</v>
      </c>
      <c r="N212" s="10">
        <f t="shared" si="11"/>
        <v>0.44944944944944942</v>
      </c>
    </row>
    <row r="213" spans="1:14" x14ac:dyDescent="0.25">
      <c r="A213" t="s">
        <v>375</v>
      </c>
      <c r="B213" s="2">
        <v>45686</v>
      </c>
      <c r="C213" t="s">
        <v>186</v>
      </c>
      <c r="D213" t="s">
        <v>53</v>
      </c>
      <c r="E213" t="s">
        <v>40</v>
      </c>
      <c r="F213" t="s">
        <v>19</v>
      </c>
      <c r="G213">
        <v>1</v>
      </c>
      <c r="H213" s="3">
        <v>1799</v>
      </c>
      <c r="I213" s="4">
        <v>0.05</v>
      </c>
      <c r="J213" t="s">
        <v>15</v>
      </c>
      <c r="K213">
        <f t="shared" si="9"/>
        <v>1709.05</v>
      </c>
      <c r="L213">
        <f>_xlfn.XLOOKUP(D213,product_cost!A:A,product_cost!B:B)</f>
        <v>1000</v>
      </c>
      <c r="M213">
        <f t="shared" si="10"/>
        <v>709.05</v>
      </c>
      <c r="N213" s="10">
        <f t="shared" si="11"/>
        <v>0.41487961148006203</v>
      </c>
    </row>
    <row r="214" spans="1:14" x14ac:dyDescent="0.25">
      <c r="A214" t="s">
        <v>376</v>
      </c>
      <c r="B214" s="2">
        <v>45846</v>
      </c>
      <c r="C214" t="s">
        <v>296</v>
      </c>
      <c r="D214" t="s">
        <v>18</v>
      </c>
      <c r="E214" t="s">
        <v>13</v>
      </c>
      <c r="F214" t="s">
        <v>19</v>
      </c>
      <c r="G214">
        <v>2</v>
      </c>
      <c r="H214" s="3">
        <v>2499</v>
      </c>
      <c r="I214" s="4">
        <v>0.2</v>
      </c>
      <c r="J214" t="s">
        <v>42</v>
      </c>
      <c r="K214">
        <f t="shared" si="9"/>
        <v>3998.4</v>
      </c>
      <c r="L214">
        <f>_xlfn.XLOOKUP(D214,product_cost!A:A,product_cost!B:B)</f>
        <v>1600</v>
      </c>
      <c r="M214">
        <f t="shared" si="10"/>
        <v>798.40000000000009</v>
      </c>
      <c r="N214" s="10">
        <f t="shared" si="11"/>
        <v>0.19967987194877954</v>
      </c>
    </row>
    <row r="215" spans="1:14" x14ac:dyDescent="0.25">
      <c r="A215" t="s">
        <v>377</v>
      </c>
      <c r="B215" s="2">
        <v>45962</v>
      </c>
      <c r="C215" t="s">
        <v>22</v>
      </c>
      <c r="D215" t="s">
        <v>39</v>
      </c>
      <c r="E215" t="s">
        <v>40</v>
      </c>
      <c r="F215" t="s">
        <v>19</v>
      </c>
      <c r="G215">
        <v>2</v>
      </c>
      <c r="H215" s="3">
        <v>2999</v>
      </c>
      <c r="I215" s="4">
        <v>0.05</v>
      </c>
      <c r="J215" t="s">
        <v>30</v>
      </c>
      <c r="K215">
        <f t="shared" si="9"/>
        <v>5698.0999999999995</v>
      </c>
      <c r="L215">
        <f>_xlfn.XLOOKUP(D215,product_cost!A:A,product_cost!B:B)</f>
        <v>1800</v>
      </c>
      <c r="M215">
        <f t="shared" si="10"/>
        <v>2098.0999999999995</v>
      </c>
      <c r="N215" s="10">
        <f t="shared" si="11"/>
        <v>0.36821045611695119</v>
      </c>
    </row>
    <row r="216" spans="1:14" x14ac:dyDescent="0.25">
      <c r="A216" t="s">
        <v>378</v>
      </c>
      <c r="B216" s="2">
        <v>45950</v>
      </c>
      <c r="C216" t="s">
        <v>199</v>
      </c>
      <c r="D216" t="s">
        <v>65</v>
      </c>
      <c r="E216" t="s">
        <v>29</v>
      </c>
      <c r="F216" t="s">
        <v>14</v>
      </c>
      <c r="G216">
        <v>1</v>
      </c>
      <c r="H216" s="3">
        <v>1299</v>
      </c>
      <c r="I216" s="4">
        <v>0.05</v>
      </c>
      <c r="J216" t="s">
        <v>15</v>
      </c>
      <c r="K216">
        <f t="shared" si="9"/>
        <v>1234.05</v>
      </c>
      <c r="L216">
        <f>_xlfn.XLOOKUP(D216,product_cost!A:A,product_cost!B:B)</f>
        <v>750</v>
      </c>
      <c r="M216">
        <f t="shared" si="10"/>
        <v>484.04999999999995</v>
      </c>
      <c r="N216" s="10">
        <f t="shared" si="11"/>
        <v>0.39224504679713135</v>
      </c>
    </row>
    <row r="217" spans="1:14" x14ac:dyDescent="0.25">
      <c r="A217" t="s">
        <v>379</v>
      </c>
      <c r="B217" s="2">
        <v>45888</v>
      </c>
      <c r="C217" t="s">
        <v>380</v>
      </c>
      <c r="D217" t="s">
        <v>36</v>
      </c>
      <c r="E217" t="s">
        <v>29</v>
      </c>
      <c r="F217" t="s">
        <v>14</v>
      </c>
      <c r="G217">
        <v>5</v>
      </c>
      <c r="H217" s="3">
        <v>399</v>
      </c>
      <c r="I217" s="4">
        <v>0</v>
      </c>
      <c r="J217" t="s">
        <v>15</v>
      </c>
      <c r="K217">
        <f t="shared" si="9"/>
        <v>1995</v>
      </c>
      <c r="L217">
        <f>_xlfn.XLOOKUP(D217,product_cost!A:A,product_cost!B:B)</f>
        <v>180</v>
      </c>
      <c r="M217">
        <f t="shared" si="10"/>
        <v>1095</v>
      </c>
      <c r="N217" s="10">
        <f t="shared" si="11"/>
        <v>0.54887218045112784</v>
      </c>
    </row>
    <row r="218" spans="1:14" x14ac:dyDescent="0.25">
      <c r="A218" t="s">
        <v>381</v>
      </c>
      <c r="B218" s="2">
        <v>45784</v>
      </c>
      <c r="C218" t="s">
        <v>179</v>
      </c>
      <c r="D218" t="s">
        <v>104</v>
      </c>
      <c r="E218" t="s">
        <v>40</v>
      </c>
      <c r="F218" t="s">
        <v>41</v>
      </c>
      <c r="G218">
        <v>2</v>
      </c>
      <c r="H218" s="3">
        <v>999</v>
      </c>
      <c r="I218" s="4">
        <v>0.1</v>
      </c>
      <c r="J218" t="s">
        <v>47</v>
      </c>
      <c r="K218">
        <f t="shared" si="9"/>
        <v>1798.2</v>
      </c>
      <c r="L218">
        <f>_xlfn.XLOOKUP(D218,product_cost!A:A,product_cost!B:B)</f>
        <v>550</v>
      </c>
      <c r="M218">
        <f t="shared" si="10"/>
        <v>698.2</v>
      </c>
      <c r="N218" s="10">
        <f t="shared" si="11"/>
        <v>0.38827716605494383</v>
      </c>
    </row>
    <row r="219" spans="1:14" x14ac:dyDescent="0.25">
      <c r="A219" t="s">
        <v>382</v>
      </c>
      <c r="B219" s="2">
        <v>45802</v>
      </c>
      <c r="C219" t="s">
        <v>184</v>
      </c>
      <c r="D219" t="s">
        <v>39</v>
      </c>
      <c r="E219" t="s">
        <v>40</v>
      </c>
      <c r="F219" t="s">
        <v>19</v>
      </c>
      <c r="G219">
        <v>3</v>
      </c>
      <c r="H219" s="3">
        <v>2999</v>
      </c>
      <c r="I219" s="4">
        <v>0.1</v>
      </c>
      <c r="J219" t="s">
        <v>47</v>
      </c>
      <c r="K219">
        <f t="shared" si="9"/>
        <v>8097.3</v>
      </c>
      <c r="L219">
        <f>_xlfn.XLOOKUP(D219,product_cost!A:A,product_cost!B:B)</f>
        <v>1800</v>
      </c>
      <c r="M219">
        <f t="shared" si="10"/>
        <v>2697.3</v>
      </c>
      <c r="N219" s="10">
        <f t="shared" si="11"/>
        <v>0.33311103701233746</v>
      </c>
    </row>
    <row r="220" spans="1:14" x14ac:dyDescent="0.25">
      <c r="A220" t="s">
        <v>383</v>
      </c>
      <c r="B220" s="2">
        <v>45691</v>
      </c>
      <c r="C220" t="s">
        <v>384</v>
      </c>
      <c r="D220" t="s">
        <v>18</v>
      </c>
      <c r="E220" t="s">
        <v>13</v>
      </c>
      <c r="F220" t="s">
        <v>41</v>
      </c>
      <c r="G220">
        <v>2</v>
      </c>
      <c r="H220" s="3">
        <v>2499</v>
      </c>
      <c r="I220" s="4">
        <v>0.05</v>
      </c>
      <c r="J220" t="s">
        <v>42</v>
      </c>
      <c r="K220">
        <f t="shared" si="9"/>
        <v>4748.0999999999995</v>
      </c>
      <c r="L220">
        <f>_xlfn.XLOOKUP(D220,product_cost!A:A,product_cost!B:B)</f>
        <v>1600</v>
      </c>
      <c r="M220">
        <f t="shared" si="10"/>
        <v>1548.0999999999995</v>
      </c>
      <c r="N220" s="10">
        <f t="shared" si="11"/>
        <v>0.3260462079568669</v>
      </c>
    </row>
    <row r="221" spans="1:14" x14ac:dyDescent="0.25">
      <c r="A221" t="s">
        <v>385</v>
      </c>
      <c r="B221" s="2">
        <v>45734</v>
      </c>
      <c r="C221" t="s">
        <v>260</v>
      </c>
      <c r="D221" t="s">
        <v>18</v>
      </c>
      <c r="E221" t="s">
        <v>13</v>
      </c>
      <c r="F221" t="s">
        <v>41</v>
      </c>
      <c r="G221">
        <v>2</v>
      </c>
      <c r="H221" s="3">
        <v>2499</v>
      </c>
      <c r="I221" s="4">
        <v>0</v>
      </c>
      <c r="J221" t="s">
        <v>47</v>
      </c>
      <c r="K221">
        <f t="shared" si="9"/>
        <v>4998</v>
      </c>
      <c r="L221">
        <f>_xlfn.XLOOKUP(D221,product_cost!A:A,product_cost!B:B)</f>
        <v>1600</v>
      </c>
      <c r="M221">
        <f t="shared" si="10"/>
        <v>1798</v>
      </c>
      <c r="N221" s="10">
        <f t="shared" si="11"/>
        <v>0.35974389755902358</v>
      </c>
    </row>
    <row r="222" spans="1:14" x14ac:dyDescent="0.25">
      <c r="A222" t="s">
        <v>386</v>
      </c>
      <c r="B222" s="2">
        <v>45993</v>
      </c>
      <c r="C222" t="s">
        <v>108</v>
      </c>
      <c r="D222" t="s">
        <v>50</v>
      </c>
      <c r="E222" t="s">
        <v>24</v>
      </c>
      <c r="F222" t="s">
        <v>19</v>
      </c>
      <c r="G222">
        <v>1</v>
      </c>
      <c r="H222" s="3">
        <v>799</v>
      </c>
      <c r="I222" s="4">
        <v>0.05</v>
      </c>
      <c r="J222" t="s">
        <v>47</v>
      </c>
      <c r="K222">
        <f t="shared" si="9"/>
        <v>759.05</v>
      </c>
      <c r="L222">
        <f>_xlfn.XLOOKUP(D222,product_cost!A:A,product_cost!B:B)</f>
        <v>400</v>
      </c>
      <c r="M222">
        <f t="shared" si="10"/>
        <v>359.04999999999995</v>
      </c>
      <c r="N222" s="10">
        <f t="shared" si="11"/>
        <v>0.47302549239180552</v>
      </c>
    </row>
    <row r="223" spans="1:14" x14ac:dyDescent="0.25">
      <c r="A223" t="s">
        <v>387</v>
      </c>
      <c r="B223" s="2">
        <v>45944</v>
      </c>
      <c r="C223" t="s">
        <v>388</v>
      </c>
      <c r="D223" t="s">
        <v>50</v>
      </c>
      <c r="E223" t="s">
        <v>24</v>
      </c>
      <c r="F223" t="s">
        <v>19</v>
      </c>
      <c r="G223">
        <v>3</v>
      </c>
      <c r="H223" s="3">
        <v>799</v>
      </c>
      <c r="I223" s="4">
        <v>0.15</v>
      </c>
      <c r="J223" t="s">
        <v>30</v>
      </c>
      <c r="K223">
        <f t="shared" si="9"/>
        <v>2037.45</v>
      </c>
      <c r="L223">
        <f>_xlfn.XLOOKUP(D223,product_cost!A:A,product_cost!B:B)</f>
        <v>400</v>
      </c>
      <c r="M223">
        <f t="shared" si="10"/>
        <v>837.45</v>
      </c>
      <c r="N223" s="10">
        <f t="shared" si="11"/>
        <v>0.41102849149672388</v>
      </c>
    </row>
    <row r="224" spans="1:14" x14ac:dyDescent="0.25">
      <c r="A224" t="s">
        <v>389</v>
      </c>
      <c r="B224" s="2">
        <v>45918</v>
      </c>
      <c r="C224" t="s">
        <v>64</v>
      </c>
      <c r="D224" t="s">
        <v>12</v>
      </c>
      <c r="E224" t="s">
        <v>13</v>
      </c>
      <c r="F224" t="s">
        <v>14</v>
      </c>
      <c r="G224">
        <v>1</v>
      </c>
      <c r="H224" s="3">
        <v>1999</v>
      </c>
      <c r="I224" s="4">
        <v>0</v>
      </c>
      <c r="J224" t="s">
        <v>47</v>
      </c>
      <c r="K224">
        <f t="shared" si="9"/>
        <v>1999</v>
      </c>
      <c r="L224">
        <f>_xlfn.XLOOKUP(D224,product_cost!A:A,product_cost!B:B)</f>
        <v>1200</v>
      </c>
      <c r="M224">
        <f t="shared" si="10"/>
        <v>799</v>
      </c>
      <c r="N224" s="10">
        <f t="shared" si="11"/>
        <v>0.39969984992496249</v>
      </c>
    </row>
    <row r="225" spans="1:14" x14ac:dyDescent="0.25">
      <c r="A225" t="s">
        <v>390</v>
      </c>
      <c r="B225" s="2">
        <v>45906</v>
      </c>
      <c r="C225" t="s">
        <v>98</v>
      </c>
      <c r="D225" t="s">
        <v>65</v>
      </c>
      <c r="E225" t="s">
        <v>29</v>
      </c>
      <c r="F225" t="s">
        <v>41</v>
      </c>
      <c r="G225">
        <v>5</v>
      </c>
      <c r="H225" s="3">
        <v>1299</v>
      </c>
      <c r="I225" s="4">
        <v>0</v>
      </c>
      <c r="J225" t="s">
        <v>15</v>
      </c>
      <c r="K225">
        <f t="shared" si="9"/>
        <v>6495</v>
      </c>
      <c r="L225">
        <f>_xlfn.XLOOKUP(D225,product_cost!A:A,product_cost!B:B)</f>
        <v>750</v>
      </c>
      <c r="M225">
        <f t="shared" si="10"/>
        <v>2745</v>
      </c>
      <c r="N225" s="10">
        <f t="shared" si="11"/>
        <v>0.42263279445727481</v>
      </c>
    </row>
    <row r="226" spans="1:14" x14ac:dyDescent="0.25">
      <c r="A226" t="s">
        <v>391</v>
      </c>
      <c r="B226" s="2">
        <v>45917</v>
      </c>
      <c r="C226" t="s">
        <v>101</v>
      </c>
      <c r="D226" t="s">
        <v>62</v>
      </c>
      <c r="E226" t="s">
        <v>24</v>
      </c>
      <c r="F226" t="s">
        <v>41</v>
      </c>
      <c r="G226">
        <v>3</v>
      </c>
      <c r="H226" s="3">
        <v>1499</v>
      </c>
      <c r="I226" s="4">
        <v>0</v>
      </c>
      <c r="J226" t="s">
        <v>42</v>
      </c>
      <c r="K226">
        <f t="shared" si="9"/>
        <v>4497</v>
      </c>
      <c r="L226">
        <f>_xlfn.XLOOKUP(D226,product_cost!A:A,product_cost!B:B)</f>
        <v>800</v>
      </c>
      <c r="M226">
        <f t="shared" si="10"/>
        <v>2097</v>
      </c>
      <c r="N226" s="10">
        <f t="shared" si="11"/>
        <v>0.46631087391594395</v>
      </c>
    </row>
    <row r="227" spans="1:14" x14ac:dyDescent="0.25">
      <c r="A227" t="s">
        <v>392</v>
      </c>
      <c r="B227" s="2">
        <v>45725</v>
      </c>
      <c r="C227" t="s">
        <v>221</v>
      </c>
      <c r="D227" t="s">
        <v>39</v>
      </c>
      <c r="E227" t="s">
        <v>40</v>
      </c>
      <c r="F227" t="s">
        <v>14</v>
      </c>
      <c r="G227">
        <v>1</v>
      </c>
      <c r="H227" s="3">
        <v>2999</v>
      </c>
      <c r="I227" s="4">
        <v>0</v>
      </c>
      <c r="J227" t="s">
        <v>30</v>
      </c>
      <c r="K227">
        <f t="shared" si="9"/>
        <v>2999</v>
      </c>
      <c r="L227">
        <f>_xlfn.XLOOKUP(D227,product_cost!A:A,product_cost!B:B)</f>
        <v>1800</v>
      </c>
      <c r="M227">
        <f t="shared" si="10"/>
        <v>1199</v>
      </c>
      <c r="N227" s="10">
        <f t="shared" si="11"/>
        <v>0.39979993331110369</v>
      </c>
    </row>
    <row r="228" spans="1:14" x14ac:dyDescent="0.25">
      <c r="A228" t="s">
        <v>393</v>
      </c>
      <c r="B228" s="2">
        <v>45680</v>
      </c>
      <c r="C228" t="s">
        <v>144</v>
      </c>
      <c r="D228" t="s">
        <v>36</v>
      </c>
      <c r="E228" t="s">
        <v>29</v>
      </c>
      <c r="F228" t="s">
        <v>25</v>
      </c>
      <c r="G228">
        <v>2</v>
      </c>
      <c r="H228" s="3">
        <v>399</v>
      </c>
      <c r="I228" s="4">
        <v>0</v>
      </c>
      <c r="J228" t="s">
        <v>42</v>
      </c>
      <c r="K228">
        <f t="shared" si="9"/>
        <v>798</v>
      </c>
      <c r="L228">
        <f>_xlfn.XLOOKUP(D228,product_cost!A:A,product_cost!B:B)</f>
        <v>180</v>
      </c>
      <c r="M228">
        <f t="shared" si="10"/>
        <v>438</v>
      </c>
      <c r="N228" s="10">
        <f t="shared" si="11"/>
        <v>0.54887218045112784</v>
      </c>
    </row>
    <row r="229" spans="1:14" x14ac:dyDescent="0.25">
      <c r="A229" t="s">
        <v>394</v>
      </c>
      <c r="B229" s="2">
        <v>45803</v>
      </c>
      <c r="C229" t="s">
        <v>395</v>
      </c>
      <c r="D229" t="s">
        <v>65</v>
      </c>
      <c r="E229" t="s">
        <v>29</v>
      </c>
      <c r="F229" t="s">
        <v>25</v>
      </c>
      <c r="G229">
        <v>2</v>
      </c>
      <c r="H229" s="3">
        <v>1299</v>
      </c>
      <c r="I229" s="4">
        <v>0</v>
      </c>
      <c r="J229" t="s">
        <v>20</v>
      </c>
      <c r="K229">
        <f t="shared" si="9"/>
        <v>2598</v>
      </c>
      <c r="L229">
        <f>_xlfn.XLOOKUP(D229,product_cost!A:A,product_cost!B:B)</f>
        <v>750</v>
      </c>
      <c r="M229">
        <f t="shared" si="10"/>
        <v>1098</v>
      </c>
      <c r="N229" s="10">
        <f t="shared" si="11"/>
        <v>0.42263279445727481</v>
      </c>
    </row>
    <row r="230" spans="1:14" x14ac:dyDescent="0.25">
      <c r="A230" t="s">
        <v>396</v>
      </c>
      <c r="B230" s="2">
        <v>45846</v>
      </c>
      <c r="C230" t="s">
        <v>302</v>
      </c>
      <c r="D230" t="s">
        <v>23</v>
      </c>
      <c r="E230" t="s">
        <v>24</v>
      </c>
      <c r="F230" t="s">
        <v>41</v>
      </c>
      <c r="G230">
        <v>5</v>
      </c>
      <c r="H230" s="3">
        <v>3999</v>
      </c>
      <c r="I230" s="4">
        <v>0.05</v>
      </c>
      <c r="J230" t="s">
        <v>30</v>
      </c>
      <c r="K230">
        <f t="shared" si="9"/>
        <v>18995.25</v>
      </c>
      <c r="L230">
        <f>_xlfn.XLOOKUP(D230,product_cost!A:A,product_cost!B:B)</f>
        <v>2600</v>
      </c>
      <c r="M230">
        <f t="shared" si="10"/>
        <v>5995.25</v>
      </c>
      <c r="N230" s="10">
        <f t="shared" si="11"/>
        <v>0.3156183782787802</v>
      </c>
    </row>
    <row r="231" spans="1:14" x14ac:dyDescent="0.25">
      <c r="A231" t="s">
        <v>397</v>
      </c>
      <c r="B231" s="2">
        <v>45915</v>
      </c>
      <c r="C231" t="s">
        <v>127</v>
      </c>
      <c r="D231" t="s">
        <v>39</v>
      </c>
      <c r="E231" t="s">
        <v>40</v>
      </c>
      <c r="F231" t="s">
        <v>14</v>
      </c>
      <c r="G231">
        <v>4</v>
      </c>
      <c r="H231" s="3">
        <v>2999</v>
      </c>
      <c r="I231" s="4">
        <v>0.15</v>
      </c>
      <c r="J231" t="s">
        <v>47</v>
      </c>
      <c r="K231">
        <f t="shared" si="9"/>
        <v>10196.6</v>
      </c>
      <c r="L231">
        <f>_xlfn.XLOOKUP(D231,product_cost!A:A,product_cost!B:B)</f>
        <v>1800</v>
      </c>
      <c r="M231">
        <f t="shared" si="10"/>
        <v>2996.6000000000004</v>
      </c>
      <c r="N231" s="10">
        <f t="shared" si="11"/>
        <v>0.29388227448365145</v>
      </c>
    </row>
    <row r="232" spans="1:14" x14ac:dyDescent="0.25">
      <c r="A232" t="s">
        <v>398</v>
      </c>
      <c r="B232" s="2">
        <v>45684</v>
      </c>
      <c r="C232" t="s">
        <v>152</v>
      </c>
      <c r="D232" t="s">
        <v>104</v>
      </c>
      <c r="E232" t="s">
        <v>40</v>
      </c>
      <c r="F232" t="s">
        <v>19</v>
      </c>
      <c r="G232">
        <v>3</v>
      </c>
      <c r="H232" s="3">
        <v>999</v>
      </c>
      <c r="I232" s="4">
        <v>0.05</v>
      </c>
      <c r="J232" t="s">
        <v>42</v>
      </c>
      <c r="K232">
        <f t="shared" si="9"/>
        <v>2847.15</v>
      </c>
      <c r="L232">
        <f>_xlfn.XLOOKUP(D232,product_cost!A:A,product_cost!B:B)</f>
        <v>550</v>
      </c>
      <c r="M232">
        <f t="shared" si="10"/>
        <v>1197.1500000000001</v>
      </c>
      <c r="N232" s="10">
        <f t="shared" si="11"/>
        <v>0.42047310468363103</v>
      </c>
    </row>
    <row r="233" spans="1:14" x14ac:dyDescent="0.25">
      <c r="A233" t="s">
        <v>399</v>
      </c>
      <c r="B233" s="2">
        <v>45721</v>
      </c>
      <c r="C233" t="s">
        <v>125</v>
      </c>
      <c r="D233" t="s">
        <v>18</v>
      </c>
      <c r="E233" t="s">
        <v>13</v>
      </c>
      <c r="F233" t="s">
        <v>14</v>
      </c>
      <c r="G233">
        <v>3</v>
      </c>
      <c r="H233" s="3">
        <v>2499</v>
      </c>
      <c r="I233" s="4">
        <v>0</v>
      </c>
      <c r="J233" t="s">
        <v>30</v>
      </c>
      <c r="K233">
        <f t="shared" si="9"/>
        <v>7497</v>
      </c>
      <c r="L233">
        <f>_xlfn.XLOOKUP(D233,product_cost!A:A,product_cost!B:B)</f>
        <v>1600</v>
      </c>
      <c r="M233">
        <f t="shared" si="10"/>
        <v>2697</v>
      </c>
      <c r="N233" s="10">
        <f t="shared" si="11"/>
        <v>0.35974389755902358</v>
      </c>
    </row>
    <row r="234" spans="1:14" x14ac:dyDescent="0.25">
      <c r="A234" t="s">
        <v>400</v>
      </c>
      <c r="B234" s="2">
        <v>45704</v>
      </c>
      <c r="C234" t="s">
        <v>174</v>
      </c>
      <c r="D234" t="s">
        <v>104</v>
      </c>
      <c r="E234" t="s">
        <v>40</v>
      </c>
      <c r="F234" t="s">
        <v>25</v>
      </c>
      <c r="G234">
        <v>3</v>
      </c>
      <c r="H234" s="3">
        <v>999</v>
      </c>
      <c r="I234" s="4">
        <v>0.15</v>
      </c>
      <c r="J234" t="s">
        <v>15</v>
      </c>
      <c r="K234">
        <f t="shared" si="9"/>
        <v>2547.4499999999998</v>
      </c>
      <c r="L234">
        <f>_xlfn.XLOOKUP(D234,product_cost!A:A,product_cost!B:B)</f>
        <v>550</v>
      </c>
      <c r="M234">
        <f t="shared" si="10"/>
        <v>897.44999999999982</v>
      </c>
      <c r="N234" s="10">
        <f t="shared" si="11"/>
        <v>0.35229346994052874</v>
      </c>
    </row>
    <row r="235" spans="1:14" x14ac:dyDescent="0.25">
      <c r="A235" t="s">
        <v>401</v>
      </c>
      <c r="B235" s="2">
        <v>45860</v>
      </c>
      <c r="C235" t="s">
        <v>402</v>
      </c>
      <c r="D235" t="s">
        <v>36</v>
      </c>
      <c r="E235" t="s">
        <v>29</v>
      </c>
      <c r="F235" t="s">
        <v>41</v>
      </c>
      <c r="G235">
        <v>1</v>
      </c>
      <c r="H235" s="3">
        <v>399</v>
      </c>
      <c r="I235" s="4">
        <v>0.2</v>
      </c>
      <c r="J235" t="s">
        <v>20</v>
      </c>
      <c r="K235">
        <f t="shared" si="9"/>
        <v>319.20000000000005</v>
      </c>
      <c r="L235">
        <f>_xlfn.XLOOKUP(D235,product_cost!A:A,product_cost!B:B)</f>
        <v>180</v>
      </c>
      <c r="M235">
        <f t="shared" si="10"/>
        <v>139.20000000000005</v>
      </c>
      <c r="N235" s="10">
        <f t="shared" si="11"/>
        <v>0.43609022556390986</v>
      </c>
    </row>
    <row r="236" spans="1:14" x14ac:dyDescent="0.25">
      <c r="A236" t="s">
        <v>403</v>
      </c>
      <c r="B236" s="2">
        <v>45672</v>
      </c>
      <c r="C236" t="s">
        <v>404</v>
      </c>
      <c r="D236" t="s">
        <v>18</v>
      </c>
      <c r="E236" t="s">
        <v>13</v>
      </c>
      <c r="F236" t="s">
        <v>14</v>
      </c>
      <c r="G236">
        <v>3</v>
      </c>
      <c r="H236" s="3">
        <v>2499</v>
      </c>
      <c r="I236" s="4">
        <v>0.1</v>
      </c>
      <c r="J236" t="s">
        <v>20</v>
      </c>
      <c r="K236">
        <f t="shared" si="9"/>
        <v>6747.3</v>
      </c>
      <c r="L236">
        <f>_xlfn.XLOOKUP(D236,product_cost!A:A,product_cost!B:B)</f>
        <v>1600</v>
      </c>
      <c r="M236">
        <f t="shared" si="10"/>
        <v>1947.3000000000002</v>
      </c>
      <c r="N236" s="10">
        <f t="shared" si="11"/>
        <v>0.28860433062113738</v>
      </c>
    </row>
    <row r="237" spans="1:14" x14ac:dyDescent="0.25">
      <c r="A237" t="s">
        <v>405</v>
      </c>
      <c r="B237" s="2">
        <v>45677</v>
      </c>
      <c r="C237" t="s">
        <v>296</v>
      </c>
      <c r="D237" t="s">
        <v>104</v>
      </c>
      <c r="E237" t="s">
        <v>40</v>
      </c>
      <c r="F237" t="s">
        <v>25</v>
      </c>
      <c r="G237">
        <v>2</v>
      </c>
      <c r="H237" s="3">
        <v>999</v>
      </c>
      <c r="I237" s="4">
        <v>0</v>
      </c>
      <c r="J237" t="s">
        <v>30</v>
      </c>
      <c r="K237">
        <f t="shared" si="9"/>
        <v>1998</v>
      </c>
      <c r="L237">
        <f>_xlfn.XLOOKUP(D237,product_cost!A:A,product_cost!B:B)</f>
        <v>550</v>
      </c>
      <c r="M237">
        <f t="shared" si="10"/>
        <v>898</v>
      </c>
      <c r="N237" s="10">
        <f t="shared" si="11"/>
        <v>0.44944944944944942</v>
      </c>
    </row>
    <row r="238" spans="1:14" x14ac:dyDescent="0.25">
      <c r="A238" t="s">
        <v>406</v>
      </c>
      <c r="B238" s="2">
        <v>45973</v>
      </c>
      <c r="C238" t="s">
        <v>89</v>
      </c>
      <c r="D238" t="s">
        <v>18</v>
      </c>
      <c r="E238" t="s">
        <v>13</v>
      </c>
      <c r="F238" t="s">
        <v>14</v>
      </c>
      <c r="G238">
        <v>1</v>
      </c>
      <c r="H238" s="3">
        <v>2499</v>
      </c>
      <c r="I238" s="4">
        <v>0</v>
      </c>
      <c r="J238" t="s">
        <v>42</v>
      </c>
      <c r="K238">
        <f t="shared" si="9"/>
        <v>2499</v>
      </c>
      <c r="L238">
        <f>_xlfn.XLOOKUP(D238,product_cost!A:A,product_cost!B:B)</f>
        <v>1600</v>
      </c>
      <c r="M238">
        <f t="shared" si="10"/>
        <v>899</v>
      </c>
      <c r="N238" s="10">
        <f t="shared" si="11"/>
        <v>0.35974389755902358</v>
      </c>
    </row>
    <row r="239" spans="1:14" x14ac:dyDescent="0.25">
      <c r="A239" t="s">
        <v>407</v>
      </c>
      <c r="B239" s="2">
        <v>45969</v>
      </c>
      <c r="C239" t="s">
        <v>127</v>
      </c>
      <c r="D239" t="s">
        <v>39</v>
      </c>
      <c r="E239" t="s">
        <v>40</v>
      </c>
      <c r="F239" t="s">
        <v>41</v>
      </c>
      <c r="G239">
        <v>1</v>
      </c>
      <c r="H239" s="3">
        <v>2999</v>
      </c>
      <c r="I239" s="4">
        <v>0</v>
      </c>
      <c r="J239" t="s">
        <v>15</v>
      </c>
      <c r="K239">
        <f t="shared" si="9"/>
        <v>2999</v>
      </c>
      <c r="L239">
        <f>_xlfn.XLOOKUP(D239,product_cost!A:A,product_cost!B:B)</f>
        <v>1800</v>
      </c>
      <c r="M239">
        <f t="shared" si="10"/>
        <v>1199</v>
      </c>
      <c r="N239" s="10">
        <f t="shared" si="11"/>
        <v>0.39979993331110369</v>
      </c>
    </row>
    <row r="240" spans="1:14" x14ac:dyDescent="0.25">
      <c r="A240" t="s">
        <v>408</v>
      </c>
      <c r="B240" s="2">
        <v>45682</v>
      </c>
      <c r="C240" t="s">
        <v>79</v>
      </c>
      <c r="D240" t="s">
        <v>39</v>
      </c>
      <c r="E240" t="s">
        <v>40</v>
      </c>
      <c r="F240" t="s">
        <v>19</v>
      </c>
      <c r="G240">
        <v>2</v>
      </c>
      <c r="H240" s="3">
        <v>2999</v>
      </c>
      <c r="I240" s="4">
        <v>0.1</v>
      </c>
      <c r="J240" t="s">
        <v>15</v>
      </c>
      <c r="K240">
        <f t="shared" si="9"/>
        <v>5398.2</v>
      </c>
      <c r="L240">
        <f>_xlfn.XLOOKUP(D240,product_cost!A:A,product_cost!B:B)</f>
        <v>1800</v>
      </c>
      <c r="M240">
        <f t="shared" si="10"/>
        <v>1798.1999999999998</v>
      </c>
      <c r="N240" s="10">
        <f t="shared" si="11"/>
        <v>0.33311103701233741</v>
      </c>
    </row>
    <row r="241" spans="1:14" x14ac:dyDescent="0.25">
      <c r="A241" t="s">
        <v>409</v>
      </c>
      <c r="B241" s="2">
        <v>45913</v>
      </c>
      <c r="C241" t="s">
        <v>221</v>
      </c>
      <c r="D241" t="s">
        <v>53</v>
      </c>
      <c r="E241" t="s">
        <v>40</v>
      </c>
      <c r="F241" t="s">
        <v>14</v>
      </c>
      <c r="G241">
        <v>1</v>
      </c>
      <c r="H241" s="3">
        <v>1799</v>
      </c>
      <c r="I241" s="4">
        <v>0.05</v>
      </c>
      <c r="J241" t="s">
        <v>20</v>
      </c>
      <c r="K241">
        <f t="shared" si="9"/>
        <v>1709.05</v>
      </c>
      <c r="L241">
        <f>_xlfn.XLOOKUP(D241,product_cost!A:A,product_cost!B:B)</f>
        <v>1000</v>
      </c>
      <c r="M241">
        <f t="shared" si="10"/>
        <v>709.05</v>
      </c>
      <c r="N241" s="10">
        <f t="shared" si="11"/>
        <v>0.41487961148006203</v>
      </c>
    </row>
    <row r="242" spans="1:14" x14ac:dyDescent="0.25">
      <c r="A242" t="s">
        <v>410</v>
      </c>
      <c r="B242" s="2">
        <v>45807</v>
      </c>
      <c r="C242" t="s">
        <v>194</v>
      </c>
      <c r="D242" t="s">
        <v>12</v>
      </c>
      <c r="E242" t="s">
        <v>13</v>
      </c>
      <c r="F242" t="s">
        <v>25</v>
      </c>
      <c r="G242">
        <v>2</v>
      </c>
      <c r="H242" s="3">
        <v>1999</v>
      </c>
      <c r="I242" s="4">
        <v>0</v>
      </c>
      <c r="J242" t="s">
        <v>20</v>
      </c>
      <c r="K242">
        <f t="shared" si="9"/>
        <v>3998</v>
      </c>
      <c r="L242">
        <f>_xlfn.XLOOKUP(D242,product_cost!A:A,product_cost!B:B)</f>
        <v>1200</v>
      </c>
      <c r="M242">
        <f t="shared" si="10"/>
        <v>1598</v>
      </c>
      <c r="N242" s="10">
        <f t="shared" si="11"/>
        <v>0.39969984992496249</v>
      </c>
    </row>
    <row r="243" spans="1:14" x14ac:dyDescent="0.25">
      <c r="A243" t="s">
        <v>411</v>
      </c>
      <c r="B243" s="2">
        <v>45998</v>
      </c>
      <c r="C243" t="s">
        <v>85</v>
      </c>
      <c r="D243" t="s">
        <v>18</v>
      </c>
      <c r="E243" t="s">
        <v>13</v>
      </c>
      <c r="F243" t="s">
        <v>19</v>
      </c>
      <c r="G243">
        <v>2</v>
      </c>
      <c r="H243" s="3">
        <v>2499</v>
      </c>
      <c r="I243" s="4">
        <v>0.05</v>
      </c>
      <c r="J243" t="s">
        <v>30</v>
      </c>
      <c r="K243">
        <f t="shared" si="9"/>
        <v>4748.0999999999995</v>
      </c>
      <c r="L243">
        <f>_xlfn.XLOOKUP(D243,product_cost!A:A,product_cost!B:B)</f>
        <v>1600</v>
      </c>
      <c r="M243">
        <f t="shared" si="10"/>
        <v>1548.0999999999995</v>
      </c>
      <c r="N243" s="10">
        <f t="shared" si="11"/>
        <v>0.3260462079568669</v>
      </c>
    </row>
    <row r="244" spans="1:14" x14ac:dyDescent="0.25">
      <c r="A244" t="s">
        <v>412</v>
      </c>
      <c r="B244" s="2">
        <v>45898</v>
      </c>
      <c r="C244" t="s">
        <v>413</v>
      </c>
      <c r="D244" t="s">
        <v>50</v>
      </c>
      <c r="E244" t="s">
        <v>24</v>
      </c>
      <c r="F244" t="s">
        <v>19</v>
      </c>
      <c r="G244">
        <v>1</v>
      </c>
      <c r="H244" s="3">
        <v>799</v>
      </c>
      <c r="I244" s="4">
        <v>0.05</v>
      </c>
      <c r="J244" t="s">
        <v>47</v>
      </c>
      <c r="K244">
        <f t="shared" si="9"/>
        <v>759.05</v>
      </c>
      <c r="L244">
        <f>_xlfn.XLOOKUP(D244,product_cost!A:A,product_cost!B:B)</f>
        <v>400</v>
      </c>
      <c r="M244">
        <f t="shared" si="10"/>
        <v>359.04999999999995</v>
      </c>
      <c r="N244" s="10">
        <f t="shared" si="11"/>
        <v>0.47302549239180552</v>
      </c>
    </row>
    <row r="245" spans="1:14" x14ac:dyDescent="0.25">
      <c r="A245" t="s">
        <v>414</v>
      </c>
      <c r="B245" s="2">
        <v>45692</v>
      </c>
      <c r="C245" t="s">
        <v>415</v>
      </c>
      <c r="D245" t="s">
        <v>65</v>
      </c>
      <c r="E245" t="s">
        <v>29</v>
      </c>
      <c r="F245" t="s">
        <v>41</v>
      </c>
      <c r="G245">
        <v>2</v>
      </c>
      <c r="H245" s="3">
        <v>1299</v>
      </c>
      <c r="I245" s="4">
        <v>0.1</v>
      </c>
      <c r="J245" t="s">
        <v>20</v>
      </c>
      <c r="K245">
        <f t="shared" si="9"/>
        <v>2338.2000000000003</v>
      </c>
      <c r="L245">
        <f>_xlfn.XLOOKUP(D245,product_cost!A:A,product_cost!B:B)</f>
        <v>750</v>
      </c>
      <c r="M245">
        <f t="shared" si="10"/>
        <v>838.20000000000027</v>
      </c>
      <c r="N245" s="10">
        <f t="shared" si="11"/>
        <v>0.35848088273030543</v>
      </c>
    </row>
    <row r="246" spans="1:14" x14ac:dyDescent="0.25">
      <c r="A246" t="s">
        <v>416</v>
      </c>
      <c r="B246" s="2">
        <v>45680</v>
      </c>
      <c r="C246" t="s">
        <v>186</v>
      </c>
      <c r="D246" t="s">
        <v>53</v>
      </c>
      <c r="E246" t="s">
        <v>40</v>
      </c>
      <c r="F246" t="s">
        <v>25</v>
      </c>
      <c r="G246">
        <v>1</v>
      </c>
      <c r="H246" s="3">
        <v>1799</v>
      </c>
      <c r="I246" s="4">
        <v>0.1</v>
      </c>
      <c r="J246" t="s">
        <v>30</v>
      </c>
      <c r="K246">
        <f t="shared" si="9"/>
        <v>1619.1000000000001</v>
      </c>
      <c r="L246">
        <f>_xlfn.XLOOKUP(D246,product_cost!A:A,product_cost!B:B)</f>
        <v>1000</v>
      </c>
      <c r="M246">
        <f t="shared" si="10"/>
        <v>619.10000000000014</v>
      </c>
      <c r="N246" s="10">
        <f t="shared" si="11"/>
        <v>0.38237292322895439</v>
      </c>
    </row>
    <row r="247" spans="1:14" x14ac:dyDescent="0.25">
      <c r="A247" t="s">
        <v>417</v>
      </c>
      <c r="B247" s="2">
        <v>45981</v>
      </c>
      <c r="C247" t="s">
        <v>418</v>
      </c>
      <c r="D247" t="s">
        <v>33</v>
      </c>
      <c r="E247" t="s">
        <v>13</v>
      </c>
      <c r="F247" t="s">
        <v>25</v>
      </c>
      <c r="G247">
        <v>1</v>
      </c>
      <c r="H247" s="3">
        <v>3499</v>
      </c>
      <c r="I247" s="4">
        <v>0.1</v>
      </c>
      <c r="J247" t="s">
        <v>15</v>
      </c>
      <c r="K247">
        <f t="shared" si="9"/>
        <v>3149.1</v>
      </c>
      <c r="L247">
        <f>_xlfn.XLOOKUP(D247,product_cost!A:A,product_cost!B:B)</f>
        <v>2300</v>
      </c>
      <c r="M247">
        <f t="shared" si="10"/>
        <v>849.09999999999991</v>
      </c>
      <c r="N247" s="10">
        <f t="shared" si="11"/>
        <v>0.26963259343939538</v>
      </c>
    </row>
    <row r="248" spans="1:14" x14ac:dyDescent="0.25">
      <c r="A248" t="s">
        <v>419</v>
      </c>
      <c r="B248" s="2">
        <v>45808</v>
      </c>
      <c r="C248" t="s">
        <v>420</v>
      </c>
      <c r="D248" t="s">
        <v>12</v>
      </c>
      <c r="E248" t="s">
        <v>13</v>
      </c>
      <c r="F248" t="s">
        <v>41</v>
      </c>
      <c r="G248">
        <v>3</v>
      </c>
      <c r="H248" s="3">
        <v>1999</v>
      </c>
      <c r="I248" s="4">
        <v>0.15</v>
      </c>
      <c r="J248" t="s">
        <v>47</v>
      </c>
      <c r="K248">
        <f t="shared" si="9"/>
        <v>5097.45</v>
      </c>
      <c r="L248">
        <f>_xlfn.XLOOKUP(D248,product_cost!A:A,product_cost!B:B)</f>
        <v>1200</v>
      </c>
      <c r="M248">
        <f t="shared" si="10"/>
        <v>1497.4499999999998</v>
      </c>
      <c r="N248" s="10">
        <f t="shared" si="11"/>
        <v>0.29376452932348524</v>
      </c>
    </row>
    <row r="249" spans="1:14" x14ac:dyDescent="0.25">
      <c r="A249" t="s">
        <v>421</v>
      </c>
      <c r="B249" s="2">
        <v>45921</v>
      </c>
      <c r="C249" t="s">
        <v>359</v>
      </c>
      <c r="D249" t="s">
        <v>53</v>
      </c>
      <c r="E249" t="s">
        <v>40</v>
      </c>
      <c r="F249" t="s">
        <v>14</v>
      </c>
      <c r="G249">
        <v>2</v>
      </c>
      <c r="H249" s="3">
        <v>1799</v>
      </c>
      <c r="I249" s="4">
        <v>0</v>
      </c>
      <c r="J249" t="s">
        <v>47</v>
      </c>
      <c r="K249">
        <f t="shared" si="9"/>
        <v>3598</v>
      </c>
      <c r="L249">
        <f>_xlfn.XLOOKUP(D249,product_cost!A:A,product_cost!B:B)</f>
        <v>1000</v>
      </c>
      <c r="M249">
        <f t="shared" si="10"/>
        <v>1598</v>
      </c>
      <c r="N249" s="10">
        <f t="shared" si="11"/>
        <v>0.4441356309060589</v>
      </c>
    </row>
    <row r="250" spans="1:14" x14ac:dyDescent="0.25">
      <c r="A250" t="s">
        <v>422</v>
      </c>
      <c r="B250" s="2">
        <v>45840</v>
      </c>
      <c r="C250" t="s">
        <v>111</v>
      </c>
      <c r="D250" t="s">
        <v>50</v>
      </c>
      <c r="E250" t="s">
        <v>24</v>
      </c>
      <c r="F250" t="s">
        <v>41</v>
      </c>
      <c r="G250">
        <v>1</v>
      </c>
      <c r="H250" s="3">
        <v>799</v>
      </c>
      <c r="I250" s="4">
        <v>0</v>
      </c>
      <c r="J250" t="s">
        <v>30</v>
      </c>
      <c r="K250">
        <f t="shared" si="9"/>
        <v>799</v>
      </c>
      <c r="L250">
        <f>_xlfn.XLOOKUP(D250,product_cost!A:A,product_cost!B:B)</f>
        <v>400</v>
      </c>
      <c r="M250">
        <f t="shared" si="10"/>
        <v>399</v>
      </c>
      <c r="N250" s="10">
        <f t="shared" si="11"/>
        <v>0.49937421777221525</v>
      </c>
    </row>
    <row r="251" spans="1:14" x14ac:dyDescent="0.25">
      <c r="A251" t="s">
        <v>423</v>
      </c>
      <c r="B251" s="2">
        <v>45862</v>
      </c>
      <c r="C251" t="s">
        <v>179</v>
      </c>
      <c r="D251" t="s">
        <v>39</v>
      </c>
      <c r="E251" t="s">
        <v>40</v>
      </c>
      <c r="F251" t="s">
        <v>25</v>
      </c>
      <c r="G251">
        <v>1</v>
      </c>
      <c r="H251" s="3">
        <v>2999</v>
      </c>
      <c r="I251" s="4">
        <v>0</v>
      </c>
      <c r="J251" t="s">
        <v>47</v>
      </c>
      <c r="K251">
        <f t="shared" si="9"/>
        <v>2999</v>
      </c>
      <c r="L251">
        <f>_xlfn.XLOOKUP(D251,product_cost!A:A,product_cost!B:B)</f>
        <v>1800</v>
      </c>
      <c r="M251">
        <f t="shared" si="10"/>
        <v>1199</v>
      </c>
      <c r="N251" s="10">
        <f t="shared" si="11"/>
        <v>0.39979993331110369</v>
      </c>
    </row>
    <row r="252" spans="1:14" x14ac:dyDescent="0.25">
      <c r="A252" t="s">
        <v>424</v>
      </c>
      <c r="B252" s="2">
        <v>45923</v>
      </c>
      <c r="C252" t="s">
        <v>275</v>
      </c>
      <c r="D252" t="s">
        <v>18</v>
      </c>
      <c r="E252" t="s">
        <v>13</v>
      </c>
      <c r="F252" t="s">
        <v>14</v>
      </c>
      <c r="G252">
        <v>2</v>
      </c>
      <c r="H252" s="3">
        <v>2499</v>
      </c>
      <c r="I252" s="4">
        <v>0</v>
      </c>
      <c r="J252" t="s">
        <v>42</v>
      </c>
      <c r="K252">
        <f t="shared" si="9"/>
        <v>4998</v>
      </c>
      <c r="L252">
        <f>_xlfn.XLOOKUP(D252,product_cost!A:A,product_cost!B:B)</f>
        <v>1600</v>
      </c>
      <c r="M252">
        <f t="shared" si="10"/>
        <v>1798</v>
      </c>
      <c r="N252" s="10">
        <f t="shared" si="11"/>
        <v>0.35974389755902358</v>
      </c>
    </row>
    <row r="253" spans="1:14" x14ac:dyDescent="0.25">
      <c r="A253" t="s">
        <v>425</v>
      </c>
      <c r="B253" s="2">
        <v>45808</v>
      </c>
      <c r="C253" t="s">
        <v>426</v>
      </c>
      <c r="D253" t="s">
        <v>18</v>
      </c>
      <c r="E253" t="s">
        <v>13</v>
      </c>
      <c r="F253" t="s">
        <v>41</v>
      </c>
      <c r="G253">
        <v>1</v>
      </c>
      <c r="H253" s="3">
        <v>2499</v>
      </c>
      <c r="I253" s="4">
        <v>0.1</v>
      </c>
      <c r="J253" t="s">
        <v>30</v>
      </c>
      <c r="K253">
        <f t="shared" si="9"/>
        <v>2249.1</v>
      </c>
      <c r="L253">
        <f>_xlfn.XLOOKUP(D253,product_cost!A:A,product_cost!B:B)</f>
        <v>1600</v>
      </c>
      <c r="M253">
        <f t="shared" si="10"/>
        <v>649.09999999999991</v>
      </c>
      <c r="N253" s="10">
        <f t="shared" si="11"/>
        <v>0.28860433062113733</v>
      </c>
    </row>
    <row r="254" spans="1:14" x14ac:dyDescent="0.25">
      <c r="A254" t="s">
        <v>427</v>
      </c>
      <c r="B254" s="2">
        <v>45966</v>
      </c>
      <c r="C254" t="s">
        <v>194</v>
      </c>
      <c r="D254" t="s">
        <v>33</v>
      </c>
      <c r="E254" t="s">
        <v>13</v>
      </c>
      <c r="F254" t="s">
        <v>19</v>
      </c>
      <c r="G254">
        <v>2</v>
      </c>
      <c r="H254" s="3">
        <v>3499</v>
      </c>
      <c r="I254" s="4">
        <v>0.05</v>
      </c>
      <c r="J254" t="s">
        <v>47</v>
      </c>
      <c r="K254">
        <f t="shared" si="9"/>
        <v>6648.0999999999995</v>
      </c>
      <c r="L254">
        <f>_xlfn.XLOOKUP(D254,product_cost!A:A,product_cost!B:B)</f>
        <v>2300</v>
      </c>
      <c r="M254">
        <f t="shared" si="10"/>
        <v>2048.0999999999995</v>
      </c>
      <c r="N254" s="10">
        <f t="shared" si="11"/>
        <v>0.30807298325837451</v>
      </c>
    </row>
    <row r="255" spans="1:14" x14ac:dyDescent="0.25">
      <c r="A255" t="s">
        <v>428</v>
      </c>
      <c r="B255" s="2">
        <v>45972</v>
      </c>
      <c r="C255" t="s">
        <v>156</v>
      </c>
      <c r="D255" t="s">
        <v>28</v>
      </c>
      <c r="E255" t="s">
        <v>29</v>
      </c>
      <c r="F255" t="s">
        <v>19</v>
      </c>
      <c r="G255">
        <v>2</v>
      </c>
      <c r="H255" s="3">
        <v>599</v>
      </c>
      <c r="I255" s="4">
        <v>0.1</v>
      </c>
      <c r="J255" t="s">
        <v>15</v>
      </c>
      <c r="K255">
        <f t="shared" si="9"/>
        <v>1078.2</v>
      </c>
      <c r="L255">
        <f>_xlfn.XLOOKUP(D255,product_cost!A:A,product_cost!B:B)</f>
        <v>300</v>
      </c>
      <c r="M255">
        <f t="shared" si="10"/>
        <v>478.20000000000005</v>
      </c>
      <c r="N255" s="10">
        <f t="shared" si="11"/>
        <v>0.4435169727323317</v>
      </c>
    </row>
    <row r="256" spans="1:14" x14ac:dyDescent="0.25">
      <c r="A256" t="s">
        <v>429</v>
      </c>
      <c r="B256" s="2">
        <v>46001</v>
      </c>
      <c r="C256" t="s">
        <v>135</v>
      </c>
      <c r="D256" t="s">
        <v>39</v>
      </c>
      <c r="E256" t="s">
        <v>40</v>
      </c>
      <c r="F256" t="s">
        <v>14</v>
      </c>
      <c r="G256">
        <v>1</v>
      </c>
      <c r="H256" s="3">
        <v>2999</v>
      </c>
      <c r="I256" s="4">
        <v>0.15</v>
      </c>
      <c r="J256" t="s">
        <v>15</v>
      </c>
      <c r="K256">
        <f t="shared" si="9"/>
        <v>2549.15</v>
      </c>
      <c r="L256">
        <f>_xlfn.XLOOKUP(D256,product_cost!A:A,product_cost!B:B)</f>
        <v>1800</v>
      </c>
      <c r="M256">
        <f t="shared" si="10"/>
        <v>749.15000000000009</v>
      </c>
      <c r="N256" s="10">
        <f t="shared" si="11"/>
        <v>0.29388227448365145</v>
      </c>
    </row>
    <row r="257" spans="1:14" x14ac:dyDescent="0.25">
      <c r="A257" t="s">
        <v>430</v>
      </c>
      <c r="B257" s="2">
        <v>45731</v>
      </c>
      <c r="C257" t="s">
        <v>83</v>
      </c>
      <c r="D257" t="s">
        <v>50</v>
      </c>
      <c r="E257" t="s">
        <v>24</v>
      </c>
      <c r="F257" t="s">
        <v>19</v>
      </c>
      <c r="G257">
        <v>3</v>
      </c>
      <c r="H257" s="3">
        <v>799</v>
      </c>
      <c r="I257" s="4">
        <v>0</v>
      </c>
      <c r="J257" t="s">
        <v>20</v>
      </c>
      <c r="K257">
        <f t="shared" si="9"/>
        <v>2397</v>
      </c>
      <c r="L257">
        <f>_xlfn.XLOOKUP(D257,product_cost!A:A,product_cost!B:B)</f>
        <v>400</v>
      </c>
      <c r="M257">
        <f t="shared" si="10"/>
        <v>1197</v>
      </c>
      <c r="N257" s="10">
        <f t="shared" si="11"/>
        <v>0.49937421777221525</v>
      </c>
    </row>
    <row r="258" spans="1:14" x14ac:dyDescent="0.25">
      <c r="A258" t="s">
        <v>431</v>
      </c>
      <c r="B258" s="2">
        <v>45988</v>
      </c>
      <c r="C258" t="s">
        <v>308</v>
      </c>
      <c r="D258" t="s">
        <v>36</v>
      </c>
      <c r="E258" t="s">
        <v>29</v>
      </c>
      <c r="F258" t="s">
        <v>14</v>
      </c>
      <c r="G258">
        <v>1</v>
      </c>
      <c r="H258" s="3">
        <v>399</v>
      </c>
      <c r="I258" s="4">
        <v>0.05</v>
      </c>
      <c r="J258" t="s">
        <v>30</v>
      </c>
      <c r="K258">
        <f t="shared" ref="K258:K321" si="12">G258*H258*(1-I258)</f>
        <v>379.04999999999995</v>
      </c>
      <c r="L258">
        <f>_xlfn.XLOOKUP(D258,product_cost!A:A,product_cost!B:B)</f>
        <v>180</v>
      </c>
      <c r="M258">
        <f t="shared" ref="M258:M321" si="13">K258-(G258*L258)</f>
        <v>199.04999999999995</v>
      </c>
      <c r="N258" s="10">
        <f t="shared" ref="N258:N321" si="14">M258/K258</f>
        <v>0.52512861100118713</v>
      </c>
    </row>
    <row r="259" spans="1:14" x14ac:dyDescent="0.25">
      <c r="A259" t="s">
        <v>432</v>
      </c>
      <c r="B259" s="2">
        <v>45847</v>
      </c>
      <c r="C259" t="s">
        <v>291</v>
      </c>
      <c r="D259" t="s">
        <v>104</v>
      </c>
      <c r="E259" t="s">
        <v>40</v>
      </c>
      <c r="F259" t="s">
        <v>41</v>
      </c>
      <c r="G259">
        <v>3</v>
      </c>
      <c r="H259" s="3">
        <v>999</v>
      </c>
      <c r="I259" s="4">
        <v>0.05</v>
      </c>
      <c r="J259" t="s">
        <v>30</v>
      </c>
      <c r="K259">
        <f t="shared" si="12"/>
        <v>2847.15</v>
      </c>
      <c r="L259">
        <f>_xlfn.XLOOKUP(D259,product_cost!A:A,product_cost!B:B)</f>
        <v>550</v>
      </c>
      <c r="M259">
        <f t="shared" si="13"/>
        <v>1197.1500000000001</v>
      </c>
      <c r="N259" s="10">
        <f t="shared" si="14"/>
        <v>0.42047310468363103</v>
      </c>
    </row>
    <row r="260" spans="1:14" x14ac:dyDescent="0.25">
      <c r="A260" t="s">
        <v>433</v>
      </c>
      <c r="B260" s="2">
        <v>45818</v>
      </c>
      <c r="C260" t="s">
        <v>199</v>
      </c>
      <c r="D260" t="s">
        <v>28</v>
      </c>
      <c r="E260" t="s">
        <v>29</v>
      </c>
      <c r="F260" t="s">
        <v>14</v>
      </c>
      <c r="G260">
        <v>1</v>
      </c>
      <c r="H260" s="3">
        <v>599</v>
      </c>
      <c r="I260" s="4">
        <v>0</v>
      </c>
      <c r="J260" t="s">
        <v>30</v>
      </c>
      <c r="K260">
        <f t="shared" si="12"/>
        <v>599</v>
      </c>
      <c r="L260">
        <f>_xlfn.XLOOKUP(D260,product_cost!A:A,product_cost!B:B)</f>
        <v>300</v>
      </c>
      <c r="M260">
        <f t="shared" si="13"/>
        <v>299</v>
      </c>
      <c r="N260" s="10">
        <f t="shared" si="14"/>
        <v>0.4991652754590985</v>
      </c>
    </row>
    <row r="261" spans="1:14" x14ac:dyDescent="0.25">
      <c r="A261" t="s">
        <v>434</v>
      </c>
      <c r="B261" s="2">
        <v>45923</v>
      </c>
      <c r="C261" t="s">
        <v>184</v>
      </c>
      <c r="D261" t="s">
        <v>53</v>
      </c>
      <c r="E261" t="s">
        <v>40</v>
      </c>
      <c r="F261" t="s">
        <v>25</v>
      </c>
      <c r="G261">
        <v>1</v>
      </c>
      <c r="H261" s="3">
        <v>1799</v>
      </c>
      <c r="I261" s="4">
        <v>0.1</v>
      </c>
      <c r="J261" t="s">
        <v>20</v>
      </c>
      <c r="K261">
        <f t="shared" si="12"/>
        <v>1619.1000000000001</v>
      </c>
      <c r="L261">
        <f>_xlfn.XLOOKUP(D261,product_cost!A:A,product_cost!B:B)</f>
        <v>1000</v>
      </c>
      <c r="M261">
        <f t="shared" si="13"/>
        <v>619.10000000000014</v>
      </c>
      <c r="N261" s="10">
        <f t="shared" si="14"/>
        <v>0.38237292322895439</v>
      </c>
    </row>
    <row r="262" spans="1:14" x14ac:dyDescent="0.25">
      <c r="A262" t="s">
        <v>435</v>
      </c>
      <c r="B262" s="2">
        <v>45971</v>
      </c>
      <c r="C262" t="s">
        <v>296</v>
      </c>
      <c r="D262" t="s">
        <v>62</v>
      </c>
      <c r="E262" t="s">
        <v>24</v>
      </c>
      <c r="F262" t="s">
        <v>19</v>
      </c>
      <c r="G262">
        <v>4</v>
      </c>
      <c r="H262" s="3">
        <v>1499</v>
      </c>
      <c r="I262" s="4">
        <v>0.05</v>
      </c>
      <c r="J262" t="s">
        <v>20</v>
      </c>
      <c r="K262">
        <f t="shared" si="12"/>
        <v>5696.2</v>
      </c>
      <c r="L262">
        <f>_xlfn.XLOOKUP(D262,product_cost!A:A,product_cost!B:B)</f>
        <v>800</v>
      </c>
      <c r="M262">
        <f t="shared" si="13"/>
        <v>2496.1999999999998</v>
      </c>
      <c r="N262" s="10">
        <f t="shared" si="14"/>
        <v>0.43822197254309891</v>
      </c>
    </row>
    <row r="263" spans="1:14" x14ac:dyDescent="0.25">
      <c r="A263" t="s">
        <v>436</v>
      </c>
      <c r="B263" s="2">
        <v>45695</v>
      </c>
      <c r="C263" t="s">
        <v>241</v>
      </c>
      <c r="D263" t="s">
        <v>33</v>
      </c>
      <c r="E263" t="s">
        <v>13</v>
      </c>
      <c r="F263" t="s">
        <v>19</v>
      </c>
      <c r="G263">
        <v>3</v>
      </c>
      <c r="H263" s="3">
        <v>3499</v>
      </c>
      <c r="I263" s="4">
        <v>0.05</v>
      </c>
      <c r="J263" t="s">
        <v>47</v>
      </c>
      <c r="K263">
        <f t="shared" si="12"/>
        <v>9972.15</v>
      </c>
      <c r="L263">
        <f>_xlfn.XLOOKUP(D263,product_cost!A:A,product_cost!B:B)</f>
        <v>2300</v>
      </c>
      <c r="M263">
        <f t="shared" si="13"/>
        <v>3072.1499999999996</v>
      </c>
      <c r="N263" s="10">
        <f t="shared" si="14"/>
        <v>0.30807298325837457</v>
      </c>
    </row>
    <row r="264" spans="1:14" x14ac:dyDescent="0.25">
      <c r="A264" t="s">
        <v>437</v>
      </c>
      <c r="B264" s="2">
        <v>45999</v>
      </c>
      <c r="C264" t="s">
        <v>415</v>
      </c>
      <c r="D264" t="s">
        <v>62</v>
      </c>
      <c r="E264" t="s">
        <v>24</v>
      </c>
      <c r="F264" t="s">
        <v>41</v>
      </c>
      <c r="G264">
        <v>1</v>
      </c>
      <c r="H264" s="3">
        <v>1499</v>
      </c>
      <c r="I264" s="4">
        <v>0.05</v>
      </c>
      <c r="J264" t="s">
        <v>20</v>
      </c>
      <c r="K264">
        <f t="shared" si="12"/>
        <v>1424.05</v>
      </c>
      <c r="L264">
        <f>_xlfn.XLOOKUP(D264,product_cost!A:A,product_cost!B:B)</f>
        <v>800</v>
      </c>
      <c r="M264">
        <f t="shared" si="13"/>
        <v>624.04999999999995</v>
      </c>
      <c r="N264" s="10">
        <f t="shared" si="14"/>
        <v>0.43822197254309891</v>
      </c>
    </row>
    <row r="265" spans="1:14" x14ac:dyDescent="0.25">
      <c r="A265" t="s">
        <v>438</v>
      </c>
      <c r="B265" s="2">
        <v>46022</v>
      </c>
      <c r="C265" t="s">
        <v>439</v>
      </c>
      <c r="D265" t="s">
        <v>50</v>
      </c>
      <c r="E265" t="s">
        <v>24</v>
      </c>
      <c r="F265" t="s">
        <v>14</v>
      </c>
      <c r="G265">
        <v>1</v>
      </c>
      <c r="H265" s="3">
        <v>799</v>
      </c>
      <c r="I265" s="4">
        <v>0.05</v>
      </c>
      <c r="J265" t="s">
        <v>15</v>
      </c>
      <c r="K265">
        <f t="shared" si="12"/>
        <v>759.05</v>
      </c>
      <c r="L265">
        <f>_xlfn.XLOOKUP(D265,product_cost!A:A,product_cost!B:B)</f>
        <v>400</v>
      </c>
      <c r="M265">
        <f t="shared" si="13"/>
        <v>359.04999999999995</v>
      </c>
      <c r="N265" s="10">
        <f t="shared" si="14"/>
        <v>0.47302549239180552</v>
      </c>
    </row>
    <row r="266" spans="1:14" x14ac:dyDescent="0.25">
      <c r="A266" t="s">
        <v>440</v>
      </c>
      <c r="B266" s="2">
        <v>45760</v>
      </c>
      <c r="C266" t="s">
        <v>314</v>
      </c>
      <c r="D266" t="s">
        <v>65</v>
      </c>
      <c r="E266" t="s">
        <v>29</v>
      </c>
      <c r="F266" t="s">
        <v>41</v>
      </c>
      <c r="G266">
        <v>3</v>
      </c>
      <c r="H266" s="3">
        <v>1299</v>
      </c>
      <c r="I266" s="4">
        <v>0</v>
      </c>
      <c r="J266" t="s">
        <v>30</v>
      </c>
      <c r="K266">
        <f t="shared" si="12"/>
        <v>3897</v>
      </c>
      <c r="L266">
        <f>_xlfn.XLOOKUP(D266,product_cost!A:A,product_cost!B:B)</f>
        <v>750</v>
      </c>
      <c r="M266">
        <f t="shared" si="13"/>
        <v>1647</v>
      </c>
      <c r="N266" s="10">
        <f t="shared" si="14"/>
        <v>0.42263279445727481</v>
      </c>
    </row>
    <row r="267" spans="1:14" x14ac:dyDescent="0.25">
      <c r="A267" t="s">
        <v>441</v>
      </c>
      <c r="B267" s="2">
        <v>45940</v>
      </c>
      <c r="C267" t="s">
        <v>326</v>
      </c>
      <c r="D267" t="s">
        <v>23</v>
      </c>
      <c r="E267" t="s">
        <v>24</v>
      </c>
      <c r="F267" t="s">
        <v>25</v>
      </c>
      <c r="G267">
        <v>3</v>
      </c>
      <c r="H267" s="3">
        <v>3999</v>
      </c>
      <c r="I267" s="4">
        <v>0</v>
      </c>
      <c r="J267" t="s">
        <v>30</v>
      </c>
      <c r="K267">
        <f t="shared" si="12"/>
        <v>11997</v>
      </c>
      <c r="L267">
        <f>_xlfn.XLOOKUP(D267,product_cost!A:A,product_cost!B:B)</f>
        <v>2600</v>
      </c>
      <c r="M267">
        <f t="shared" si="13"/>
        <v>4197</v>
      </c>
      <c r="N267" s="10">
        <f t="shared" si="14"/>
        <v>0.34983745936484123</v>
      </c>
    </row>
    <row r="268" spans="1:14" x14ac:dyDescent="0.25">
      <c r="A268" t="s">
        <v>442</v>
      </c>
      <c r="B268" s="2">
        <v>45927</v>
      </c>
      <c r="C268" t="s">
        <v>144</v>
      </c>
      <c r="D268" t="s">
        <v>39</v>
      </c>
      <c r="E268" t="s">
        <v>40</v>
      </c>
      <c r="F268" t="s">
        <v>41</v>
      </c>
      <c r="G268">
        <v>3</v>
      </c>
      <c r="H268" s="3">
        <v>2999</v>
      </c>
      <c r="I268" s="4">
        <v>0</v>
      </c>
      <c r="J268" t="s">
        <v>15</v>
      </c>
      <c r="K268">
        <f t="shared" si="12"/>
        <v>8997</v>
      </c>
      <c r="L268">
        <f>_xlfn.XLOOKUP(D268,product_cost!A:A,product_cost!B:B)</f>
        <v>1800</v>
      </c>
      <c r="M268">
        <f t="shared" si="13"/>
        <v>3597</v>
      </c>
      <c r="N268" s="10">
        <f t="shared" si="14"/>
        <v>0.39979993331110369</v>
      </c>
    </row>
    <row r="269" spans="1:14" x14ac:dyDescent="0.25">
      <c r="A269" t="s">
        <v>443</v>
      </c>
      <c r="B269" s="2">
        <v>45888</v>
      </c>
      <c r="C269" t="s">
        <v>203</v>
      </c>
      <c r="D269" t="s">
        <v>50</v>
      </c>
      <c r="E269" t="s">
        <v>24</v>
      </c>
      <c r="F269" t="s">
        <v>14</v>
      </c>
      <c r="G269">
        <v>2</v>
      </c>
      <c r="H269" s="3">
        <v>799</v>
      </c>
      <c r="I269" s="4">
        <v>0</v>
      </c>
      <c r="J269" t="s">
        <v>20</v>
      </c>
      <c r="K269">
        <f t="shared" si="12"/>
        <v>1598</v>
      </c>
      <c r="L269">
        <f>_xlfn.XLOOKUP(D269,product_cost!A:A,product_cost!B:B)</f>
        <v>400</v>
      </c>
      <c r="M269">
        <f t="shared" si="13"/>
        <v>798</v>
      </c>
      <c r="N269" s="10">
        <f t="shared" si="14"/>
        <v>0.49937421777221525</v>
      </c>
    </row>
    <row r="270" spans="1:14" x14ac:dyDescent="0.25">
      <c r="A270" t="s">
        <v>444</v>
      </c>
      <c r="B270" s="2">
        <v>45879</v>
      </c>
      <c r="C270" t="s">
        <v>402</v>
      </c>
      <c r="D270" t="s">
        <v>12</v>
      </c>
      <c r="E270" t="s">
        <v>13</v>
      </c>
      <c r="F270" t="s">
        <v>41</v>
      </c>
      <c r="G270">
        <v>3</v>
      </c>
      <c r="H270" s="3">
        <v>1999</v>
      </c>
      <c r="I270" s="4">
        <v>0.05</v>
      </c>
      <c r="J270" t="s">
        <v>20</v>
      </c>
      <c r="K270">
        <f t="shared" si="12"/>
        <v>5697.15</v>
      </c>
      <c r="L270">
        <f>_xlfn.XLOOKUP(D270,product_cost!A:A,product_cost!B:B)</f>
        <v>1200</v>
      </c>
      <c r="M270">
        <f t="shared" si="13"/>
        <v>2097.1499999999996</v>
      </c>
      <c r="N270" s="10">
        <f t="shared" si="14"/>
        <v>0.368105105184171</v>
      </c>
    </row>
    <row r="271" spans="1:14" x14ac:dyDescent="0.25">
      <c r="A271" t="s">
        <v>445</v>
      </c>
      <c r="B271" s="2">
        <v>45740</v>
      </c>
      <c r="C271" t="s">
        <v>426</v>
      </c>
      <c r="D271" t="s">
        <v>62</v>
      </c>
      <c r="E271" t="s">
        <v>24</v>
      </c>
      <c r="F271" t="s">
        <v>41</v>
      </c>
      <c r="G271">
        <v>1</v>
      </c>
      <c r="H271" s="3">
        <v>1499</v>
      </c>
      <c r="I271" s="4">
        <v>0.15</v>
      </c>
      <c r="J271" t="s">
        <v>15</v>
      </c>
      <c r="K271">
        <f t="shared" si="12"/>
        <v>1274.1499999999999</v>
      </c>
      <c r="L271">
        <f>_xlfn.XLOOKUP(D271,product_cost!A:A,product_cost!B:B)</f>
        <v>800</v>
      </c>
      <c r="M271">
        <f t="shared" si="13"/>
        <v>474.14999999999986</v>
      </c>
      <c r="N271" s="10">
        <f t="shared" si="14"/>
        <v>0.3721304399011105</v>
      </c>
    </row>
    <row r="272" spans="1:14" x14ac:dyDescent="0.25">
      <c r="A272" t="s">
        <v>446</v>
      </c>
      <c r="B272" s="2">
        <v>45786</v>
      </c>
      <c r="C272" t="s">
        <v>447</v>
      </c>
      <c r="D272" t="s">
        <v>50</v>
      </c>
      <c r="E272" t="s">
        <v>24</v>
      </c>
      <c r="F272" t="s">
        <v>41</v>
      </c>
      <c r="G272">
        <v>4</v>
      </c>
      <c r="H272" s="3">
        <v>799</v>
      </c>
      <c r="I272" s="4">
        <v>0</v>
      </c>
      <c r="J272" t="s">
        <v>42</v>
      </c>
      <c r="K272">
        <f t="shared" si="12"/>
        <v>3196</v>
      </c>
      <c r="L272">
        <f>_xlfn.XLOOKUP(D272,product_cost!A:A,product_cost!B:B)</f>
        <v>400</v>
      </c>
      <c r="M272">
        <f t="shared" si="13"/>
        <v>1596</v>
      </c>
      <c r="N272" s="10">
        <f t="shared" si="14"/>
        <v>0.49937421777221525</v>
      </c>
    </row>
    <row r="273" spans="1:14" x14ac:dyDescent="0.25">
      <c r="A273" t="s">
        <v>448</v>
      </c>
      <c r="B273" s="2">
        <v>45931</v>
      </c>
      <c r="C273" t="s">
        <v>133</v>
      </c>
      <c r="D273" t="s">
        <v>53</v>
      </c>
      <c r="E273" t="s">
        <v>40</v>
      </c>
      <c r="F273" t="s">
        <v>14</v>
      </c>
      <c r="G273">
        <v>2</v>
      </c>
      <c r="H273" s="3">
        <v>1799</v>
      </c>
      <c r="I273" s="4">
        <v>0.05</v>
      </c>
      <c r="J273" t="s">
        <v>20</v>
      </c>
      <c r="K273">
        <f t="shared" si="12"/>
        <v>3418.1</v>
      </c>
      <c r="L273">
        <f>_xlfn.XLOOKUP(D273,product_cost!A:A,product_cost!B:B)</f>
        <v>1000</v>
      </c>
      <c r="M273">
        <f t="shared" si="13"/>
        <v>1418.1</v>
      </c>
      <c r="N273" s="10">
        <f t="shared" si="14"/>
        <v>0.41487961148006203</v>
      </c>
    </row>
    <row r="274" spans="1:14" x14ac:dyDescent="0.25">
      <c r="A274" t="s">
        <v>449</v>
      </c>
      <c r="B274" s="2">
        <v>45995</v>
      </c>
      <c r="C274" t="s">
        <v>192</v>
      </c>
      <c r="D274" t="s">
        <v>62</v>
      </c>
      <c r="E274" t="s">
        <v>24</v>
      </c>
      <c r="F274" t="s">
        <v>19</v>
      </c>
      <c r="G274">
        <v>4</v>
      </c>
      <c r="H274" s="3">
        <v>1499</v>
      </c>
      <c r="I274" s="4">
        <v>0</v>
      </c>
      <c r="J274" t="s">
        <v>15</v>
      </c>
      <c r="K274">
        <f t="shared" si="12"/>
        <v>5996</v>
      </c>
      <c r="L274">
        <f>_xlfn.XLOOKUP(D274,product_cost!A:A,product_cost!B:B)</f>
        <v>800</v>
      </c>
      <c r="M274">
        <f t="shared" si="13"/>
        <v>2796</v>
      </c>
      <c r="N274" s="10">
        <f t="shared" si="14"/>
        <v>0.46631087391594395</v>
      </c>
    </row>
    <row r="275" spans="1:14" x14ac:dyDescent="0.25">
      <c r="A275" t="s">
        <v>450</v>
      </c>
      <c r="B275" s="2">
        <v>45699</v>
      </c>
      <c r="C275" t="s">
        <v>413</v>
      </c>
      <c r="D275" t="s">
        <v>50</v>
      </c>
      <c r="E275" t="s">
        <v>24</v>
      </c>
      <c r="F275" t="s">
        <v>14</v>
      </c>
      <c r="G275">
        <v>3</v>
      </c>
      <c r="H275" s="3">
        <v>799</v>
      </c>
      <c r="I275" s="4">
        <v>0</v>
      </c>
      <c r="J275" t="s">
        <v>42</v>
      </c>
      <c r="K275">
        <f t="shared" si="12"/>
        <v>2397</v>
      </c>
      <c r="L275">
        <f>_xlfn.XLOOKUP(D275,product_cost!A:A,product_cost!B:B)</f>
        <v>400</v>
      </c>
      <c r="M275">
        <f t="shared" si="13"/>
        <v>1197</v>
      </c>
      <c r="N275" s="10">
        <f t="shared" si="14"/>
        <v>0.49937421777221525</v>
      </c>
    </row>
    <row r="276" spans="1:14" x14ac:dyDescent="0.25">
      <c r="A276" t="s">
        <v>451</v>
      </c>
      <c r="B276" s="2">
        <v>45871</v>
      </c>
      <c r="C276" t="s">
        <v>243</v>
      </c>
      <c r="D276" t="s">
        <v>50</v>
      </c>
      <c r="E276" t="s">
        <v>24</v>
      </c>
      <c r="F276" t="s">
        <v>41</v>
      </c>
      <c r="G276">
        <v>1</v>
      </c>
      <c r="H276" s="3">
        <v>799</v>
      </c>
      <c r="I276" s="4">
        <v>0.15</v>
      </c>
      <c r="J276" t="s">
        <v>47</v>
      </c>
      <c r="K276">
        <f t="shared" si="12"/>
        <v>679.15</v>
      </c>
      <c r="L276">
        <f>_xlfn.XLOOKUP(D276,product_cost!A:A,product_cost!B:B)</f>
        <v>400</v>
      </c>
      <c r="M276">
        <f t="shared" si="13"/>
        <v>279.14999999999998</v>
      </c>
      <c r="N276" s="10">
        <f t="shared" si="14"/>
        <v>0.41102849149672382</v>
      </c>
    </row>
    <row r="277" spans="1:14" x14ac:dyDescent="0.25">
      <c r="A277" t="s">
        <v>452</v>
      </c>
      <c r="B277" s="2">
        <v>45905</v>
      </c>
      <c r="C277" t="s">
        <v>217</v>
      </c>
      <c r="D277" t="s">
        <v>50</v>
      </c>
      <c r="E277" t="s">
        <v>24</v>
      </c>
      <c r="F277" t="s">
        <v>19</v>
      </c>
      <c r="G277">
        <v>1</v>
      </c>
      <c r="H277" s="3">
        <v>799</v>
      </c>
      <c r="I277" s="4">
        <v>0.05</v>
      </c>
      <c r="J277" t="s">
        <v>20</v>
      </c>
      <c r="K277">
        <f t="shared" si="12"/>
        <v>759.05</v>
      </c>
      <c r="L277">
        <f>_xlfn.XLOOKUP(D277,product_cost!A:A,product_cost!B:B)</f>
        <v>400</v>
      </c>
      <c r="M277">
        <f t="shared" si="13"/>
        <v>359.04999999999995</v>
      </c>
      <c r="N277" s="10">
        <f t="shared" si="14"/>
        <v>0.47302549239180552</v>
      </c>
    </row>
    <row r="278" spans="1:14" x14ac:dyDescent="0.25">
      <c r="A278" t="s">
        <v>453</v>
      </c>
      <c r="B278" s="2">
        <v>45883</v>
      </c>
      <c r="C278" t="s">
        <v>182</v>
      </c>
      <c r="D278" t="s">
        <v>104</v>
      </c>
      <c r="E278" t="s">
        <v>40</v>
      </c>
      <c r="F278" t="s">
        <v>14</v>
      </c>
      <c r="G278">
        <v>2</v>
      </c>
      <c r="H278" s="3">
        <v>999</v>
      </c>
      <c r="I278" s="4">
        <v>0</v>
      </c>
      <c r="J278" t="s">
        <v>47</v>
      </c>
      <c r="K278">
        <f t="shared" si="12"/>
        <v>1998</v>
      </c>
      <c r="L278">
        <f>_xlfn.XLOOKUP(D278,product_cost!A:A,product_cost!B:B)</f>
        <v>550</v>
      </c>
      <c r="M278">
        <f t="shared" si="13"/>
        <v>898</v>
      </c>
      <c r="N278" s="10">
        <f t="shared" si="14"/>
        <v>0.44944944944944942</v>
      </c>
    </row>
    <row r="279" spans="1:14" x14ac:dyDescent="0.25">
      <c r="A279" t="s">
        <v>454</v>
      </c>
      <c r="B279" s="2">
        <v>45821</v>
      </c>
      <c r="C279" t="s">
        <v>415</v>
      </c>
      <c r="D279" t="s">
        <v>39</v>
      </c>
      <c r="E279" t="s">
        <v>40</v>
      </c>
      <c r="F279" t="s">
        <v>19</v>
      </c>
      <c r="G279">
        <v>1</v>
      </c>
      <c r="H279" s="3">
        <v>2999</v>
      </c>
      <c r="I279" s="4">
        <v>0.05</v>
      </c>
      <c r="J279" t="s">
        <v>47</v>
      </c>
      <c r="K279">
        <f t="shared" si="12"/>
        <v>2849.0499999999997</v>
      </c>
      <c r="L279">
        <f>_xlfn.XLOOKUP(D279,product_cost!A:A,product_cost!B:B)</f>
        <v>1800</v>
      </c>
      <c r="M279">
        <f t="shared" si="13"/>
        <v>1049.0499999999997</v>
      </c>
      <c r="N279" s="10">
        <f t="shared" si="14"/>
        <v>0.36821045611695119</v>
      </c>
    </row>
    <row r="280" spans="1:14" x14ac:dyDescent="0.25">
      <c r="A280" t="s">
        <v>455</v>
      </c>
      <c r="B280" s="2">
        <v>45781</v>
      </c>
      <c r="C280" t="s">
        <v>203</v>
      </c>
      <c r="D280" t="s">
        <v>18</v>
      </c>
      <c r="E280" t="s">
        <v>13</v>
      </c>
      <c r="F280" t="s">
        <v>19</v>
      </c>
      <c r="G280">
        <v>1</v>
      </c>
      <c r="H280" s="3">
        <v>2499</v>
      </c>
      <c r="I280" s="4">
        <v>0</v>
      </c>
      <c r="J280" t="s">
        <v>15</v>
      </c>
      <c r="K280">
        <f t="shared" si="12"/>
        <v>2499</v>
      </c>
      <c r="L280">
        <f>_xlfn.XLOOKUP(D280,product_cost!A:A,product_cost!B:B)</f>
        <v>1600</v>
      </c>
      <c r="M280">
        <f t="shared" si="13"/>
        <v>899</v>
      </c>
      <c r="N280" s="10">
        <f t="shared" si="14"/>
        <v>0.35974389755902358</v>
      </c>
    </row>
    <row r="281" spans="1:14" x14ac:dyDescent="0.25">
      <c r="A281" t="s">
        <v>456</v>
      </c>
      <c r="B281" s="2">
        <v>45806</v>
      </c>
      <c r="C281" t="s">
        <v>68</v>
      </c>
      <c r="D281" t="s">
        <v>23</v>
      </c>
      <c r="E281" t="s">
        <v>24</v>
      </c>
      <c r="F281" t="s">
        <v>14</v>
      </c>
      <c r="G281">
        <v>1</v>
      </c>
      <c r="H281" s="3">
        <v>3999</v>
      </c>
      <c r="I281" s="4">
        <v>0.2</v>
      </c>
      <c r="J281" t="s">
        <v>47</v>
      </c>
      <c r="K281">
        <f t="shared" si="12"/>
        <v>3199.2000000000003</v>
      </c>
      <c r="L281">
        <f>_xlfn.XLOOKUP(D281,product_cost!A:A,product_cost!B:B)</f>
        <v>2600</v>
      </c>
      <c r="M281">
        <f t="shared" si="13"/>
        <v>599.20000000000027</v>
      </c>
      <c r="N281" s="10">
        <f t="shared" si="14"/>
        <v>0.18729682420605159</v>
      </c>
    </row>
    <row r="282" spans="1:14" x14ac:dyDescent="0.25">
      <c r="A282" t="s">
        <v>457</v>
      </c>
      <c r="B282" s="2">
        <v>45953</v>
      </c>
      <c r="C282" t="s">
        <v>57</v>
      </c>
      <c r="D282" t="s">
        <v>65</v>
      </c>
      <c r="E282" t="s">
        <v>29</v>
      </c>
      <c r="F282" t="s">
        <v>25</v>
      </c>
      <c r="G282">
        <v>3</v>
      </c>
      <c r="H282" s="3">
        <v>1299</v>
      </c>
      <c r="I282" s="4">
        <v>0.05</v>
      </c>
      <c r="J282" t="s">
        <v>30</v>
      </c>
      <c r="K282">
        <f t="shared" si="12"/>
        <v>3702.1499999999996</v>
      </c>
      <c r="L282">
        <f>_xlfn.XLOOKUP(D282,product_cost!A:A,product_cost!B:B)</f>
        <v>750</v>
      </c>
      <c r="M282">
        <f t="shared" si="13"/>
        <v>1452.1499999999996</v>
      </c>
      <c r="N282" s="10">
        <f t="shared" si="14"/>
        <v>0.39224504679713135</v>
      </c>
    </row>
    <row r="283" spans="1:14" x14ac:dyDescent="0.25">
      <c r="A283" t="s">
        <v>458</v>
      </c>
      <c r="B283" s="2">
        <v>45815</v>
      </c>
      <c r="C283" t="s">
        <v>59</v>
      </c>
      <c r="D283" t="s">
        <v>12</v>
      </c>
      <c r="E283" t="s">
        <v>13</v>
      </c>
      <c r="F283" t="s">
        <v>25</v>
      </c>
      <c r="G283">
        <v>1</v>
      </c>
      <c r="H283" s="3">
        <v>1999</v>
      </c>
      <c r="I283" s="4">
        <v>0.05</v>
      </c>
      <c r="J283" t="s">
        <v>20</v>
      </c>
      <c r="K283">
        <f t="shared" si="12"/>
        <v>1899.05</v>
      </c>
      <c r="L283">
        <f>_xlfn.XLOOKUP(D283,product_cost!A:A,product_cost!B:B)</f>
        <v>1200</v>
      </c>
      <c r="M283">
        <f t="shared" si="13"/>
        <v>699.05</v>
      </c>
      <c r="N283" s="10">
        <f t="shared" si="14"/>
        <v>0.368105105184171</v>
      </c>
    </row>
    <row r="284" spans="1:14" x14ac:dyDescent="0.25">
      <c r="A284" t="s">
        <v>459</v>
      </c>
      <c r="B284" s="2">
        <v>45768</v>
      </c>
      <c r="C284" t="s">
        <v>117</v>
      </c>
      <c r="D284" t="s">
        <v>36</v>
      </c>
      <c r="E284" t="s">
        <v>29</v>
      </c>
      <c r="F284" t="s">
        <v>25</v>
      </c>
      <c r="G284">
        <v>1</v>
      </c>
      <c r="H284" s="3">
        <v>399</v>
      </c>
      <c r="I284" s="4">
        <v>0</v>
      </c>
      <c r="J284" t="s">
        <v>47</v>
      </c>
      <c r="K284">
        <f t="shared" si="12"/>
        <v>399</v>
      </c>
      <c r="L284">
        <f>_xlfn.XLOOKUP(D284,product_cost!A:A,product_cost!B:B)</f>
        <v>180</v>
      </c>
      <c r="M284">
        <f t="shared" si="13"/>
        <v>219</v>
      </c>
      <c r="N284" s="10">
        <f t="shared" si="14"/>
        <v>0.54887218045112784</v>
      </c>
    </row>
    <row r="285" spans="1:14" x14ac:dyDescent="0.25">
      <c r="A285" t="s">
        <v>460</v>
      </c>
      <c r="B285" s="2">
        <v>45932</v>
      </c>
      <c r="C285" t="s">
        <v>121</v>
      </c>
      <c r="D285" t="s">
        <v>18</v>
      </c>
      <c r="E285" t="s">
        <v>13</v>
      </c>
      <c r="F285" t="s">
        <v>41</v>
      </c>
      <c r="G285">
        <v>1</v>
      </c>
      <c r="H285" s="3">
        <v>2499</v>
      </c>
      <c r="I285" s="4">
        <v>0.15</v>
      </c>
      <c r="J285" t="s">
        <v>30</v>
      </c>
      <c r="K285">
        <f t="shared" si="12"/>
        <v>2124.15</v>
      </c>
      <c r="L285">
        <f>_xlfn.XLOOKUP(D285,product_cost!A:A,product_cost!B:B)</f>
        <v>1600</v>
      </c>
      <c r="M285">
        <f t="shared" si="13"/>
        <v>524.15000000000009</v>
      </c>
      <c r="N285" s="10">
        <f t="shared" si="14"/>
        <v>0.24675752654002781</v>
      </c>
    </row>
    <row r="286" spans="1:14" x14ac:dyDescent="0.25">
      <c r="A286" t="s">
        <v>461</v>
      </c>
      <c r="B286" s="2">
        <v>45845</v>
      </c>
      <c r="C286" t="s">
        <v>413</v>
      </c>
      <c r="D286" t="s">
        <v>39</v>
      </c>
      <c r="E286" t="s">
        <v>40</v>
      </c>
      <c r="F286" t="s">
        <v>41</v>
      </c>
      <c r="G286">
        <v>1</v>
      </c>
      <c r="H286" s="3">
        <v>2999</v>
      </c>
      <c r="I286" s="4">
        <v>0.05</v>
      </c>
      <c r="J286" t="s">
        <v>42</v>
      </c>
      <c r="K286">
        <f t="shared" si="12"/>
        <v>2849.0499999999997</v>
      </c>
      <c r="L286">
        <f>_xlfn.XLOOKUP(D286,product_cost!A:A,product_cost!B:B)</f>
        <v>1800</v>
      </c>
      <c r="M286">
        <f t="shared" si="13"/>
        <v>1049.0499999999997</v>
      </c>
      <c r="N286" s="10">
        <f t="shared" si="14"/>
        <v>0.36821045611695119</v>
      </c>
    </row>
    <row r="287" spans="1:14" x14ac:dyDescent="0.25">
      <c r="A287" t="s">
        <v>462</v>
      </c>
      <c r="B287" s="2">
        <v>45805</v>
      </c>
      <c r="C287" t="s">
        <v>91</v>
      </c>
      <c r="D287" t="s">
        <v>39</v>
      </c>
      <c r="E287" t="s">
        <v>40</v>
      </c>
      <c r="F287" t="s">
        <v>41</v>
      </c>
      <c r="G287">
        <v>2</v>
      </c>
      <c r="H287" s="3">
        <v>2999</v>
      </c>
      <c r="I287" s="4">
        <v>0.1</v>
      </c>
      <c r="J287" t="s">
        <v>42</v>
      </c>
      <c r="K287">
        <f t="shared" si="12"/>
        <v>5398.2</v>
      </c>
      <c r="L287">
        <f>_xlfn.XLOOKUP(D287,product_cost!A:A,product_cost!B:B)</f>
        <v>1800</v>
      </c>
      <c r="M287">
        <f t="shared" si="13"/>
        <v>1798.1999999999998</v>
      </c>
      <c r="N287" s="10">
        <f t="shared" si="14"/>
        <v>0.33311103701233741</v>
      </c>
    </row>
    <row r="288" spans="1:14" x14ac:dyDescent="0.25">
      <c r="A288" t="s">
        <v>463</v>
      </c>
      <c r="B288" s="2">
        <v>46006</v>
      </c>
      <c r="C288" t="s">
        <v>464</v>
      </c>
      <c r="D288" t="s">
        <v>18</v>
      </c>
      <c r="E288" t="s">
        <v>13</v>
      </c>
      <c r="F288" t="s">
        <v>41</v>
      </c>
      <c r="G288">
        <v>1</v>
      </c>
      <c r="H288" s="3">
        <v>2499</v>
      </c>
      <c r="I288" s="4">
        <v>0</v>
      </c>
      <c r="J288" t="s">
        <v>47</v>
      </c>
      <c r="K288">
        <f t="shared" si="12"/>
        <v>2499</v>
      </c>
      <c r="L288">
        <f>_xlfn.XLOOKUP(D288,product_cost!A:A,product_cost!B:B)</f>
        <v>1600</v>
      </c>
      <c r="M288">
        <f t="shared" si="13"/>
        <v>899</v>
      </c>
      <c r="N288" s="10">
        <f t="shared" si="14"/>
        <v>0.35974389755902358</v>
      </c>
    </row>
    <row r="289" spans="1:14" x14ac:dyDescent="0.25">
      <c r="A289" t="s">
        <v>465</v>
      </c>
      <c r="B289" s="2">
        <v>45943</v>
      </c>
      <c r="C289" t="s">
        <v>308</v>
      </c>
      <c r="D289" t="s">
        <v>33</v>
      </c>
      <c r="E289" t="s">
        <v>13</v>
      </c>
      <c r="F289" t="s">
        <v>19</v>
      </c>
      <c r="G289">
        <v>1</v>
      </c>
      <c r="H289" s="3">
        <v>3499</v>
      </c>
      <c r="I289" s="4">
        <v>0.05</v>
      </c>
      <c r="J289" t="s">
        <v>15</v>
      </c>
      <c r="K289">
        <f t="shared" si="12"/>
        <v>3324.0499999999997</v>
      </c>
      <c r="L289">
        <f>_xlfn.XLOOKUP(D289,product_cost!A:A,product_cost!B:B)</f>
        <v>2300</v>
      </c>
      <c r="M289">
        <f t="shared" si="13"/>
        <v>1024.0499999999997</v>
      </c>
      <c r="N289" s="10">
        <f t="shared" si="14"/>
        <v>0.30807298325837451</v>
      </c>
    </row>
    <row r="290" spans="1:14" x14ac:dyDescent="0.25">
      <c r="A290" t="s">
        <v>466</v>
      </c>
      <c r="B290" s="2">
        <v>45677</v>
      </c>
      <c r="C290" t="s">
        <v>314</v>
      </c>
      <c r="D290" t="s">
        <v>62</v>
      </c>
      <c r="E290" t="s">
        <v>24</v>
      </c>
      <c r="F290" t="s">
        <v>25</v>
      </c>
      <c r="G290">
        <v>1</v>
      </c>
      <c r="H290" s="3">
        <v>1499</v>
      </c>
      <c r="I290" s="4">
        <v>0.05</v>
      </c>
      <c r="J290" t="s">
        <v>20</v>
      </c>
      <c r="K290">
        <f t="shared" si="12"/>
        <v>1424.05</v>
      </c>
      <c r="L290">
        <f>_xlfn.XLOOKUP(D290,product_cost!A:A,product_cost!B:B)</f>
        <v>800</v>
      </c>
      <c r="M290">
        <f t="shared" si="13"/>
        <v>624.04999999999995</v>
      </c>
      <c r="N290" s="10">
        <f t="shared" si="14"/>
        <v>0.43822197254309891</v>
      </c>
    </row>
    <row r="291" spans="1:14" x14ac:dyDescent="0.25">
      <c r="A291" t="s">
        <v>467</v>
      </c>
      <c r="B291" s="2">
        <v>45968</v>
      </c>
      <c r="C291" t="s">
        <v>468</v>
      </c>
      <c r="D291" t="s">
        <v>33</v>
      </c>
      <c r="E291" t="s">
        <v>13</v>
      </c>
      <c r="F291" t="s">
        <v>14</v>
      </c>
      <c r="G291">
        <v>1</v>
      </c>
      <c r="H291" s="3">
        <v>3499</v>
      </c>
      <c r="I291" s="4">
        <v>0.1</v>
      </c>
      <c r="J291" t="s">
        <v>30</v>
      </c>
      <c r="K291">
        <f t="shared" si="12"/>
        <v>3149.1</v>
      </c>
      <c r="L291">
        <f>_xlfn.XLOOKUP(D291,product_cost!A:A,product_cost!B:B)</f>
        <v>2300</v>
      </c>
      <c r="M291">
        <f t="shared" si="13"/>
        <v>849.09999999999991</v>
      </c>
      <c r="N291" s="10">
        <f t="shared" si="14"/>
        <v>0.26963259343939538</v>
      </c>
    </row>
    <row r="292" spans="1:14" x14ac:dyDescent="0.25">
      <c r="A292" t="s">
        <v>469</v>
      </c>
      <c r="B292" s="2">
        <v>45973</v>
      </c>
      <c r="C292" t="s">
        <v>470</v>
      </c>
      <c r="D292" t="s">
        <v>23</v>
      </c>
      <c r="E292" t="s">
        <v>24</v>
      </c>
      <c r="F292" t="s">
        <v>25</v>
      </c>
      <c r="G292">
        <v>1</v>
      </c>
      <c r="H292" s="3">
        <v>3999</v>
      </c>
      <c r="I292" s="4">
        <v>0.15</v>
      </c>
      <c r="J292" t="s">
        <v>42</v>
      </c>
      <c r="K292">
        <f t="shared" si="12"/>
        <v>3399.15</v>
      </c>
      <c r="L292">
        <f>_xlfn.XLOOKUP(D292,product_cost!A:A,product_cost!B:B)</f>
        <v>2600</v>
      </c>
      <c r="M292">
        <f t="shared" si="13"/>
        <v>799.15000000000009</v>
      </c>
      <c r="N292" s="10">
        <f t="shared" si="14"/>
        <v>0.23510289337040144</v>
      </c>
    </row>
    <row r="293" spans="1:14" x14ac:dyDescent="0.25">
      <c r="A293" t="s">
        <v>471</v>
      </c>
      <c r="B293" s="2">
        <v>45811</v>
      </c>
      <c r="C293" t="s">
        <v>168</v>
      </c>
      <c r="D293" t="s">
        <v>12</v>
      </c>
      <c r="E293" t="s">
        <v>13</v>
      </c>
      <c r="F293" t="s">
        <v>25</v>
      </c>
      <c r="G293">
        <v>1</v>
      </c>
      <c r="H293" s="3">
        <v>1999</v>
      </c>
      <c r="I293" s="4">
        <v>0.1</v>
      </c>
      <c r="J293" t="s">
        <v>42</v>
      </c>
      <c r="K293">
        <f t="shared" si="12"/>
        <v>1799.1000000000001</v>
      </c>
      <c r="L293">
        <f>_xlfn.XLOOKUP(D293,product_cost!A:A,product_cost!B:B)</f>
        <v>1200</v>
      </c>
      <c r="M293">
        <f t="shared" si="13"/>
        <v>599.10000000000014</v>
      </c>
      <c r="N293" s="10">
        <f t="shared" si="14"/>
        <v>0.33299983324995835</v>
      </c>
    </row>
    <row r="294" spans="1:14" x14ac:dyDescent="0.25">
      <c r="A294" t="s">
        <v>472</v>
      </c>
      <c r="B294" s="2">
        <v>45815</v>
      </c>
      <c r="C294" t="s">
        <v>55</v>
      </c>
      <c r="D294" t="s">
        <v>50</v>
      </c>
      <c r="E294" t="s">
        <v>24</v>
      </c>
      <c r="F294" t="s">
        <v>14</v>
      </c>
      <c r="G294">
        <v>1</v>
      </c>
      <c r="H294" s="3">
        <v>799</v>
      </c>
      <c r="I294" s="4">
        <v>0.05</v>
      </c>
      <c r="J294" t="s">
        <v>15</v>
      </c>
      <c r="K294">
        <f t="shared" si="12"/>
        <v>759.05</v>
      </c>
      <c r="L294">
        <f>_xlfn.XLOOKUP(D294,product_cost!A:A,product_cost!B:B)</f>
        <v>400</v>
      </c>
      <c r="M294">
        <f t="shared" si="13"/>
        <v>359.04999999999995</v>
      </c>
      <c r="N294" s="10">
        <f t="shared" si="14"/>
        <v>0.47302549239180552</v>
      </c>
    </row>
    <row r="295" spans="1:14" x14ac:dyDescent="0.25">
      <c r="A295" t="s">
        <v>473</v>
      </c>
      <c r="B295" s="2">
        <v>45956</v>
      </c>
      <c r="C295" t="s">
        <v>235</v>
      </c>
      <c r="D295" t="s">
        <v>33</v>
      </c>
      <c r="E295" t="s">
        <v>13</v>
      </c>
      <c r="F295" t="s">
        <v>25</v>
      </c>
      <c r="G295">
        <v>2</v>
      </c>
      <c r="H295" s="3">
        <v>3499</v>
      </c>
      <c r="I295" s="4">
        <v>0.1</v>
      </c>
      <c r="J295" t="s">
        <v>20</v>
      </c>
      <c r="K295">
        <f t="shared" si="12"/>
        <v>6298.2</v>
      </c>
      <c r="L295">
        <f>_xlfn.XLOOKUP(D295,product_cost!A:A,product_cost!B:B)</f>
        <v>2300</v>
      </c>
      <c r="M295">
        <f t="shared" si="13"/>
        <v>1698.1999999999998</v>
      </c>
      <c r="N295" s="10">
        <f t="shared" si="14"/>
        <v>0.26963259343939538</v>
      </c>
    </row>
    <row r="296" spans="1:14" x14ac:dyDescent="0.25">
      <c r="A296" t="s">
        <v>474</v>
      </c>
      <c r="B296" s="2">
        <v>46006</v>
      </c>
      <c r="C296" t="s">
        <v>217</v>
      </c>
      <c r="D296" t="s">
        <v>12</v>
      </c>
      <c r="E296" t="s">
        <v>13</v>
      </c>
      <c r="F296" t="s">
        <v>14</v>
      </c>
      <c r="G296">
        <v>2</v>
      </c>
      <c r="H296" s="3">
        <v>1999</v>
      </c>
      <c r="I296" s="4">
        <v>0.1</v>
      </c>
      <c r="J296" t="s">
        <v>15</v>
      </c>
      <c r="K296">
        <f t="shared" si="12"/>
        <v>3598.2000000000003</v>
      </c>
      <c r="L296">
        <f>_xlfn.XLOOKUP(D296,product_cost!A:A,product_cost!B:B)</f>
        <v>1200</v>
      </c>
      <c r="M296">
        <f t="shared" si="13"/>
        <v>1198.2000000000003</v>
      </c>
      <c r="N296" s="10">
        <f t="shared" si="14"/>
        <v>0.33299983324995835</v>
      </c>
    </row>
    <row r="297" spans="1:14" x14ac:dyDescent="0.25">
      <c r="A297" t="s">
        <v>475</v>
      </c>
      <c r="B297" s="2">
        <v>45883</v>
      </c>
      <c r="C297" t="s">
        <v>57</v>
      </c>
      <c r="D297" t="s">
        <v>39</v>
      </c>
      <c r="E297" t="s">
        <v>40</v>
      </c>
      <c r="F297" t="s">
        <v>25</v>
      </c>
      <c r="G297">
        <v>1</v>
      </c>
      <c r="H297" s="3">
        <v>2999</v>
      </c>
      <c r="I297" s="4">
        <v>0.1</v>
      </c>
      <c r="J297" t="s">
        <v>42</v>
      </c>
      <c r="K297">
        <f t="shared" si="12"/>
        <v>2699.1</v>
      </c>
      <c r="L297">
        <f>_xlfn.XLOOKUP(D297,product_cost!A:A,product_cost!B:B)</f>
        <v>1800</v>
      </c>
      <c r="M297">
        <f t="shared" si="13"/>
        <v>899.09999999999991</v>
      </c>
      <c r="N297" s="10">
        <f t="shared" si="14"/>
        <v>0.33311103701233741</v>
      </c>
    </row>
    <row r="298" spans="1:14" x14ac:dyDescent="0.25">
      <c r="A298" t="s">
        <v>476</v>
      </c>
      <c r="B298" s="2">
        <v>45971</v>
      </c>
      <c r="C298" t="s">
        <v>271</v>
      </c>
      <c r="D298" t="s">
        <v>62</v>
      </c>
      <c r="E298" t="s">
        <v>24</v>
      </c>
      <c r="F298" t="s">
        <v>14</v>
      </c>
      <c r="G298">
        <v>2</v>
      </c>
      <c r="H298" s="3">
        <v>1499</v>
      </c>
      <c r="I298" s="4">
        <v>0.1</v>
      </c>
      <c r="J298" t="s">
        <v>42</v>
      </c>
      <c r="K298">
        <f t="shared" si="12"/>
        <v>2698.2000000000003</v>
      </c>
      <c r="L298">
        <f>_xlfn.XLOOKUP(D298,product_cost!A:A,product_cost!B:B)</f>
        <v>800</v>
      </c>
      <c r="M298">
        <f t="shared" si="13"/>
        <v>1098.2000000000003</v>
      </c>
      <c r="N298" s="10">
        <f t="shared" si="14"/>
        <v>0.40701208212882667</v>
      </c>
    </row>
    <row r="299" spans="1:14" x14ac:dyDescent="0.25">
      <c r="A299" t="s">
        <v>477</v>
      </c>
      <c r="B299" s="2">
        <v>45824</v>
      </c>
      <c r="C299" t="s">
        <v>245</v>
      </c>
      <c r="D299" t="s">
        <v>104</v>
      </c>
      <c r="E299" t="s">
        <v>40</v>
      </c>
      <c r="F299" t="s">
        <v>14</v>
      </c>
      <c r="G299">
        <v>2</v>
      </c>
      <c r="H299" s="3">
        <v>999</v>
      </c>
      <c r="I299" s="4">
        <v>0</v>
      </c>
      <c r="J299" t="s">
        <v>30</v>
      </c>
      <c r="K299">
        <f t="shared" si="12"/>
        <v>1998</v>
      </c>
      <c r="L299">
        <f>_xlfn.XLOOKUP(D299,product_cost!A:A,product_cost!B:B)</f>
        <v>550</v>
      </c>
      <c r="M299">
        <f t="shared" si="13"/>
        <v>898</v>
      </c>
      <c r="N299" s="10">
        <f t="shared" si="14"/>
        <v>0.44944944944944942</v>
      </c>
    </row>
    <row r="300" spans="1:14" x14ac:dyDescent="0.25">
      <c r="A300" t="s">
        <v>478</v>
      </c>
      <c r="B300" s="2">
        <v>45930</v>
      </c>
      <c r="C300" t="s">
        <v>131</v>
      </c>
      <c r="D300" t="s">
        <v>53</v>
      </c>
      <c r="E300" t="s">
        <v>40</v>
      </c>
      <c r="F300" t="s">
        <v>41</v>
      </c>
      <c r="G300">
        <v>1</v>
      </c>
      <c r="H300" s="3">
        <v>1799</v>
      </c>
      <c r="I300" s="4">
        <v>0.1</v>
      </c>
      <c r="J300" t="s">
        <v>42</v>
      </c>
      <c r="K300">
        <f t="shared" si="12"/>
        <v>1619.1000000000001</v>
      </c>
      <c r="L300">
        <f>_xlfn.XLOOKUP(D300,product_cost!A:A,product_cost!B:B)</f>
        <v>1000</v>
      </c>
      <c r="M300">
        <f t="shared" si="13"/>
        <v>619.10000000000014</v>
      </c>
      <c r="N300" s="10">
        <f t="shared" si="14"/>
        <v>0.38237292322895439</v>
      </c>
    </row>
    <row r="301" spans="1:14" x14ac:dyDescent="0.25">
      <c r="A301" t="s">
        <v>479</v>
      </c>
      <c r="B301" s="2">
        <v>45905</v>
      </c>
      <c r="C301" t="s">
        <v>98</v>
      </c>
      <c r="D301" t="s">
        <v>65</v>
      </c>
      <c r="E301" t="s">
        <v>29</v>
      </c>
      <c r="F301" t="s">
        <v>41</v>
      </c>
      <c r="G301">
        <v>1</v>
      </c>
      <c r="H301" s="3">
        <v>1299</v>
      </c>
      <c r="I301" s="4">
        <v>0</v>
      </c>
      <c r="J301" t="s">
        <v>47</v>
      </c>
      <c r="K301">
        <f t="shared" si="12"/>
        <v>1299</v>
      </c>
      <c r="L301">
        <f>_xlfn.XLOOKUP(D301,product_cost!A:A,product_cost!B:B)</f>
        <v>750</v>
      </c>
      <c r="M301">
        <f t="shared" si="13"/>
        <v>549</v>
      </c>
      <c r="N301" s="10">
        <f t="shared" si="14"/>
        <v>0.42263279445727481</v>
      </c>
    </row>
    <row r="302" spans="1:14" x14ac:dyDescent="0.25">
      <c r="A302" t="s">
        <v>480</v>
      </c>
      <c r="B302" s="2">
        <v>46018</v>
      </c>
      <c r="C302" t="s">
        <v>49</v>
      </c>
      <c r="D302" t="s">
        <v>62</v>
      </c>
      <c r="E302" t="s">
        <v>24</v>
      </c>
      <c r="F302" t="s">
        <v>41</v>
      </c>
      <c r="G302">
        <v>2</v>
      </c>
      <c r="H302" s="3">
        <v>1499</v>
      </c>
      <c r="I302" s="4">
        <v>0</v>
      </c>
      <c r="J302" t="s">
        <v>42</v>
      </c>
      <c r="K302">
        <f t="shared" si="12"/>
        <v>2998</v>
      </c>
      <c r="L302">
        <f>_xlfn.XLOOKUP(D302,product_cost!A:A,product_cost!B:B)</f>
        <v>800</v>
      </c>
      <c r="M302">
        <f t="shared" si="13"/>
        <v>1398</v>
      </c>
      <c r="N302" s="10">
        <f t="shared" si="14"/>
        <v>0.46631087391594395</v>
      </c>
    </row>
    <row r="303" spans="1:14" x14ac:dyDescent="0.25">
      <c r="A303" t="s">
        <v>481</v>
      </c>
      <c r="B303" s="2">
        <v>45798</v>
      </c>
      <c r="C303" t="s">
        <v>296</v>
      </c>
      <c r="D303" t="s">
        <v>18</v>
      </c>
      <c r="E303" t="s">
        <v>13</v>
      </c>
      <c r="F303" t="s">
        <v>25</v>
      </c>
      <c r="G303">
        <v>2</v>
      </c>
      <c r="H303" s="3">
        <v>2499</v>
      </c>
      <c r="I303" s="4">
        <v>0.05</v>
      </c>
      <c r="J303" t="s">
        <v>47</v>
      </c>
      <c r="K303">
        <f t="shared" si="12"/>
        <v>4748.0999999999995</v>
      </c>
      <c r="L303">
        <f>_xlfn.XLOOKUP(D303,product_cost!A:A,product_cost!B:B)</f>
        <v>1600</v>
      </c>
      <c r="M303">
        <f t="shared" si="13"/>
        <v>1548.0999999999995</v>
      </c>
      <c r="N303" s="10">
        <f t="shared" si="14"/>
        <v>0.3260462079568669</v>
      </c>
    </row>
    <row r="304" spans="1:14" x14ac:dyDescent="0.25">
      <c r="A304" t="s">
        <v>482</v>
      </c>
      <c r="B304" s="2">
        <v>45732</v>
      </c>
      <c r="C304" t="s">
        <v>361</v>
      </c>
      <c r="D304" t="s">
        <v>12</v>
      </c>
      <c r="E304" t="s">
        <v>13</v>
      </c>
      <c r="F304" t="s">
        <v>41</v>
      </c>
      <c r="G304">
        <v>1</v>
      </c>
      <c r="H304" s="3">
        <v>1999</v>
      </c>
      <c r="I304" s="4">
        <v>0.1</v>
      </c>
      <c r="J304" t="s">
        <v>30</v>
      </c>
      <c r="K304">
        <f t="shared" si="12"/>
        <v>1799.1000000000001</v>
      </c>
      <c r="L304">
        <f>_xlfn.XLOOKUP(D304,product_cost!A:A,product_cost!B:B)</f>
        <v>1200</v>
      </c>
      <c r="M304">
        <f t="shared" si="13"/>
        <v>599.10000000000014</v>
      </c>
      <c r="N304" s="10">
        <f t="shared" si="14"/>
        <v>0.33299983324995835</v>
      </c>
    </row>
    <row r="305" spans="1:14" x14ac:dyDescent="0.25">
      <c r="A305" t="s">
        <v>483</v>
      </c>
      <c r="B305" s="2">
        <v>45993</v>
      </c>
      <c r="C305" t="s">
        <v>484</v>
      </c>
      <c r="D305" t="s">
        <v>62</v>
      </c>
      <c r="E305" t="s">
        <v>24</v>
      </c>
      <c r="F305" t="s">
        <v>41</v>
      </c>
      <c r="G305">
        <v>2</v>
      </c>
      <c r="H305" s="3">
        <v>1499</v>
      </c>
      <c r="I305" s="4">
        <v>0</v>
      </c>
      <c r="J305" t="s">
        <v>42</v>
      </c>
      <c r="K305">
        <f t="shared" si="12"/>
        <v>2998</v>
      </c>
      <c r="L305">
        <f>_xlfn.XLOOKUP(D305,product_cost!A:A,product_cost!B:B)</f>
        <v>800</v>
      </c>
      <c r="M305">
        <f t="shared" si="13"/>
        <v>1398</v>
      </c>
      <c r="N305" s="10">
        <f t="shared" si="14"/>
        <v>0.46631087391594395</v>
      </c>
    </row>
    <row r="306" spans="1:14" x14ac:dyDescent="0.25">
      <c r="A306" t="s">
        <v>485</v>
      </c>
      <c r="B306" s="2">
        <v>46014</v>
      </c>
      <c r="C306" t="s">
        <v>350</v>
      </c>
      <c r="D306" t="s">
        <v>33</v>
      </c>
      <c r="E306" t="s">
        <v>13</v>
      </c>
      <c r="F306" t="s">
        <v>14</v>
      </c>
      <c r="G306">
        <v>1</v>
      </c>
      <c r="H306" s="3">
        <v>3499</v>
      </c>
      <c r="I306" s="4">
        <v>0.1</v>
      </c>
      <c r="J306" t="s">
        <v>20</v>
      </c>
      <c r="K306">
        <f t="shared" si="12"/>
        <v>3149.1</v>
      </c>
      <c r="L306">
        <f>_xlfn.XLOOKUP(D306,product_cost!A:A,product_cost!B:B)</f>
        <v>2300</v>
      </c>
      <c r="M306">
        <f t="shared" si="13"/>
        <v>849.09999999999991</v>
      </c>
      <c r="N306" s="10">
        <f t="shared" si="14"/>
        <v>0.26963259343939538</v>
      </c>
    </row>
    <row r="307" spans="1:14" x14ac:dyDescent="0.25">
      <c r="A307" t="s">
        <v>486</v>
      </c>
      <c r="B307" s="2">
        <v>45683</v>
      </c>
      <c r="C307" t="s">
        <v>85</v>
      </c>
      <c r="D307" t="s">
        <v>53</v>
      </c>
      <c r="E307" t="s">
        <v>40</v>
      </c>
      <c r="F307" t="s">
        <v>19</v>
      </c>
      <c r="G307">
        <v>1</v>
      </c>
      <c r="H307" s="3">
        <v>1799</v>
      </c>
      <c r="I307" s="4">
        <v>0</v>
      </c>
      <c r="J307" t="s">
        <v>30</v>
      </c>
      <c r="K307">
        <f t="shared" si="12"/>
        <v>1799</v>
      </c>
      <c r="L307">
        <f>_xlfn.XLOOKUP(D307,product_cost!A:A,product_cost!B:B)</f>
        <v>1000</v>
      </c>
      <c r="M307">
        <f t="shared" si="13"/>
        <v>799</v>
      </c>
      <c r="N307" s="10">
        <f t="shared" si="14"/>
        <v>0.4441356309060589</v>
      </c>
    </row>
    <row r="308" spans="1:14" x14ac:dyDescent="0.25">
      <c r="A308" t="s">
        <v>487</v>
      </c>
      <c r="B308" s="2">
        <v>45827</v>
      </c>
      <c r="C308" t="s">
        <v>271</v>
      </c>
      <c r="D308" t="s">
        <v>18</v>
      </c>
      <c r="E308" t="s">
        <v>13</v>
      </c>
      <c r="F308" t="s">
        <v>14</v>
      </c>
      <c r="G308">
        <v>2</v>
      </c>
      <c r="H308" s="3">
        <v>2499</v>
      </c>
      <c r="I308" s="4">
        <v>0</v>
      </c>
      <c r="J308" t="s">
        <v>30</v>
      </c>
      <c r="K308">
        <f t="shared" si="12"/>
        <v>4998</v>
      </c>
      <c r="L308">
        <f>_xlfn.XLOOKUP(D308,product_cost!A:A,product_cost!B:B)</f>
        <v>1600</v>
      </c>
      <c r="M308">
        <f t="shared" si="13"/>
        <v>1798</v>
      </c>
      <c r="N308" s="10">
        <f t="shared" si="14"/>
        <v>0.35974389755902358</v>
      </c>
    </row>
    <row r="309" spans="1:14" x14ac:dyDescent="0.25">
      <c r="A309" t="s">
        <v>488</v>
      </c>
      <c r="B309" s="2">
        <v>45992</v>
      </c>
      <c r="C309" t="s">
        <v>168</v>
      </c>
      <c r="D309" t="s">
        <v>104</v>
      </c>
      <c r="E309" t="s">
        <v>40</v>
      </c>
      <c r="F309" t="s">
        <v>41</v>
      </c>
      <c r="G309">
        <v>2</v>
      </c>
      <c r="H309" s="3">
        <v>999</v>
      </c>
      <c r="I309" s="4">
        <v>0.1</v>
      </c>
      <c r="J309" t="s">
        <v>47</v>
      </c>
      <c r="K309">
        <f t="shared" si="12"/>
        <v>1798.2</v>
      </c>
      <c r="L309">
        <f>_xlfn.XLOOKUP(D309,product_cost!A:A,product_cost!B:B)</f>
        <v>550</v>
      </c>
      <c r="M309">
        <f t="shared" si="13"/>
        <v>698.2</v>
      </c>
      <c r="N309" s="10">
        <f t="shared" si="14"/>
        <v>0.38827716605494383</v>
      </c>
    </row>
    <row r="310" spans="1:14" x14ac:dyDescent="0.25">
      <c r="A310" t="s">
        <v>489</v>
      </c>
      <c r="B310" s="2">
        <v>45804</v>
      </c>
      <c r="C310" t="s">
        <v>250</v>
      </c>
      <c r="D310" t="s">
        <v>12</v>
      </c>
      <c r="E310" t="s">
        <v>13</v>
      </c>
      <c r="F310" t="s">
        <v>14</v>
      </c>
      <c r="G310">
        <v>4</v>
      </c>
      <c r="H310" s="3">
        <v>1999</v>
      </c>
      <c r="I310" s="4">
        <v>0</v>
      </c>
      <c r="J310" t="s">
        <v>42</v>
      </c>
      <c r="K310">
        <f t="shared" si="12"/>
        <v>7996</v>
      </c>
      <c r="L310">
        <f>_xlfn.XLOOKUP(D310,product_cost!A:A,product_cost!B:B)</f>
        <v>1200</v>
      </c>
      <c r="M310">
        <f t="shared" si="13"/>
        <v>3196</v>
      </c>
      <c r="N310" s="10">
        <f t="shared" si="14"/>
        <v>0.39969984992496249</v>
      </c>
    </row>
    <row r="311" spans="1:14" x14ac:dyDescent="0.25">
      <c r="A311" t="s">
        <v>490</v>
      </c>
      <c r="B311" s="2">
        <v>45677</v>
      </c>
      <c r="C311" t="s">
        <v>491</v>
      </c>
      <c r="D311" t="s">
        <v>39</v>
      </c>
      <c r="E311" t="s">
        <v>40</v>
      </c>
      <c r="F311" t="s">
        <v>19</v>
      </c>
      <c r="G311">
        <v>3</v>
      </c>
      <c r="H311" s="3">
        <v>2999</v>
      </c>
      <c r="I311" s="4">
        <v>0</v>
      </c>
      <c r="J311" t="s">
        <v>30</v>
      </c>
      <c r="K311">
        <f t="shared" si="12"/>
        <v>8997</v>
      </c>
      <c r="L311">
        <f>_xlfn.XLOOKUP(D311,product_cost!A:A,product_cost!B:B)</f>
        <v>1800</v>
      </c>
      <c r="M311">
        <f t="shared" si="13"/>
        <v>3597</v>
      </c>
      <c r="N311" s="10">
        <f t="shared" si="14"/>
        <v>0.39979993331110369</v>
      </c>
    </row>
    <row r="312" spans="1:14" x14ac:dyDescent="0.25">
      <c r="A312" t="s">
        <v>492</v>
      </c>
      <c r="B312" s="2">
        <v>45911</v>
      </c>
      <c r="C312" t="s">
        <v>493</v>
      </c>
      <c r="D312" t="s">
        <v>62</v>
      </c>
      <c r="E312" t="s">
        <v>24</v>
      </c>
      <c r="F312" t="s">
        <v>19</v>
      </c>
      <c r="G312">
        <v>4</v>
      </c>
      <c r="H312" s="3">
        <v>1499</v>
      </c>
      <c r="I312" s="4">
        <v>0.15</v>
      </c>
      <c r="J312" t="s">
        <v>15</v>
      </c>
      <c r="K312">
        <f t="shared" si="12"/>
        <v>5096.5999999999995</v>
      </c>
      <c r="L312">
        <f>_xlfn.XLOOKUP(D312,product_cost!A:A,product_cost!B:B)</f>
        <v>800</v>
      </c>
      <c r="M312">
        <f t="shared" si="13"/>
        <v>1896.5999999999995</v>
      </c>
      <c r="N312" s="10">
        <f t="shared" si="14"/>
        <v>0.3721304399011105</v>
      </c>
    </row>
    <row r="313" spans="1:14" x14ac:dyDescent="0.25">
      <c r="A313" t="s">
        <v>494</v>
      </c>
      <c r="B313" s="2">
        <v>45810</v>
      </c>
      <c r="C313" t="s">
        <v>115</v>
      </c>
      <c r="D313" t="s">
        <v>23</v>
      </c>
      <c r="E313" t="s">
        <v>24</v>
      </c>
      <c r="F313" t="s">
        <v>41</v>
      </c>
      <c r="G313">
        <v>1</v>
      </c>
      <c r="H313" s="3">
        <v>3999</v>
      </c>
      <c r="I313" s="4">
        <v>0.2</v>
      </c>
      <c r="J313" t="s">
        <v>30</v>
      </c>
      <c r="K313">
        <f t="shared" si="12"/>
        <v>3199.2000000000003</v>
      </c>
      <c r="L313">
        <f>_xlfn.XLOOKUP(D313,product_cost!A:A,product_cost!B:B)</f>
        <v>2600</v>
      </c>
      <c r="M313">
        <f t="shared" si="13"/>
        <v>599.20000000000027</v>
      </c>
      <c r="N313" s="10">
        <f t="shared" si="14"/>
        <v>0.18729682420605159</v>
      </c>
    </row>
    <row r="314" spans="1:14" x14ac:dyDescent="0.25">
      <c r="A314" t="s">
        <v>495</v>
      </c>
      <c r="B314" s="2">
        <v>45986</v>
      </c>
      <c r="C314" t="s">
        <v>17</v>
      </c>
      <c r="D314" t="s">
        <v>53</v>
      </c>
      <c r="E314" t="s">
        <v>40</v>
      </c>
      <c r="F314" t="s">
        <v>25</v>
      </c>
      <c r="G314">
        <v>2</v>
      </c>
      <c r="H314" s="3">
        <v>1799</v>
      </c>
      <c r="I314" s="4">
        <v>0.15</v>
      </c>
      <c r="J314" t="s">
        <v>47</v>
      </c>
      <c r="K314">
        <f t="shared" si="12"/>
        <v>3058.2999999999997</v>
      </c>
      <c r="L314">
        <f>_xlfn.XLOOKUP(D314,product_cost!A:A,product_cost!B:B)</f>
        <v>1000</v>
      </c>
      <c r="M314">
        <f t="shared" si="13"/>
        <v>1058.2999999999997</v>
      </c>
      <c r="N314" s="10">
        <f t="shared" si="14"/>
        <v>0.34604191871301043</v>
      </c>
    </row>
    <row r="315" spans="1:14" x14ac:dyDescent="0.25">
      <c r="A315" t="s">
        <v>496</v>
      </c>
      <c r="B315" s="2">
        <v>45756</v>
      </c>
      <c r="C315" t="s">
        <v>11</v>
      </c>
      <c r="D315" t="s">
        <v>36</v>
      </c>
      <c r="E315" t="s">
        <v>29</v>
      </c>
      <c r="F315" t="s">
        <v>41</v>
      </c>
      <c r="G315">
        <v>1</v>
      </c>
      <c r="H315" s="3">
        <v>399</v>
      </c>
      <c r="I315" s="4">
        <v>0.05</v>
      </c>
      <c r="J315" t="s">
        <v>20</v>
      </c>
      <c r="K315">
        <f t="shared" si="12"/>
        <v>379.04999999999995</v>
      </c>
      <c r="L315">
        <f>_xlfn.XLOOKUP(D315,product_cost!A:A,product_cost!B:B)</f>
        <v>180</v>
      </c>
      <c r="M315">
        <f t="shared" si="13"/>
        <v>199.04999999999995</v>
      </c>
      <c r="N315" s="10">
        <f t="shared" si="14"/>
        <v>0.52512861100118713</v>
      </c>
    </row>
    <row r="316" spans="1:14" x14ac:dyDescent="0.25">
      <c r="A316" t="s">
        <v>497</v>
      </c>
      <c r="B316" s="2">
        <v>45665</v>
      </c>
      <c r="C316" t="s">
        <v>190</v>
      </c>
      <c r="D316" t="s">
        <v>28</v>
      </c>
      <c r="E316" t="s">
        <v>29</v>
      </c>
      <c r="F316" t="s">
        <v>14</v>
      </c>
      <c r="G316">
        <v>2</v>
      </c>
      <c r="H316" s="3">
        <v>599</v>
      </c>
      <c r="I316" s="4">
        <v>0.1</v>
      </c>
      <c r="J316" t="s">
        <v>42</v>
      </c>
      <c r="K316">
        <f t="shared" si="12"/>
        <v>1078.2</v>
      </c>
      <c r="L316">
        <f>_xlfn.XLOOKUP(D316,product_cost!A:A,product_cost!B:B)</f>
        <v>300</v>
      </c>
      <c r="M316">
        <f t="shared" si="13"/>
        <v>478.20000000000005</v>
      </c>
      <c r="N316" s="10">
        <f t="shared" si="14"/>
        <v>0.4435169727323317</v>
      </c>
    </row>
    <row r="317" spans="1:14" x14ac:dyDescent="0.25">
      <c r="A317" t="s">
        <v>498</v>
      </c>
      <c r="B317" s="2">
        <v>45985</v>
      </c>
      <c r="C317" t="s">
        <v>499</v>
      </c>
      <c r="D317" t="s">
        <v>39</v>
      </c>
      <c r="E317" t="s">
        <v>40</v>
      </c>
      <c r="F317" t="s">
        <v>19</v>
      </c>
      <c r="G317">
        <v>2</v>
      </c>
      <c r="H317" s="3">
        <v>2999</v>
      </c>
      <c r="I317" s="4">
        <v>0</v>
      </c>
      <c r="J317" t="s">
        <v>20</v>
      </c>
      <c r="K317">
        <f t="shared" si="12"/>
        <v>5998</v>
      </c>
      <c r="L317">
        <f>_xlfn.XLOOKUP(D317,product_cost!A:A,product_cost!B:B)</f>
        <v>1800</v>
      </c>
      <c r="M317">
        <f t="shared" si="13"/>
        <v>2398</v>
      </c>
      <c r="N317" s="10">
        <f t="shared" si="14"/>
        <v>0.39979993331110369</v>
      </c>
    </row>
    <row r="318" spans="1:14" x14ac:dyDescent="0.25">
      <c r="A318" t="s">
        <v>500</v>
      </c>
      <c r="B318" s="2">
        <v>45729</v>
      </c>
      <c r="C318" t="s">
        <v>235</v>
      </c>
      <c r="D318" t="s">
        <v>36</v>
      </c>
      <c r="E318" t="s">
        <v>29</v>
      </c>
      <c r="F318" t="s">
        <v>25</v>
      </c>
      <c r="G318">
        <v>4</v>
      </c>
      <c r="H318" s="3">
        <v>399</v>
      </c>
      <c r="I318" s="4">
        <v>0</v>
      </c>
      <c r="J318" t="s">
        <v>20</v>
      </c>
      <c r="K318">
        <f t="shared" si="12"/>
        <v>1596</v>
      </c>
      <c r="L318">
        <f>_xlfn.XLOOKUP(D318,product_cost!A:A,product_cost!B:B)</f>
        <v>180</v>
      </c>
      <c r="M318">
        <f t="shared" si="13"/>
        <v>876</v>
      </c>
      <c r="N318" s="10">
        <f t="shared" si="14"/>
        <v>0.54887218045112784</v>
      </c>
    </row>
    <row r="319" spans="1:14" x14ac:dyDescent="0.25">
      <c r="A319" t="s">
        <v>501</v>
      </c>
      <c r="B319" s="2">
        <v>45886</v>
      </c>
      <c r="C319" t="s">
        <v>275</v>
      </c>
      <c r="D319" t="s">
        <v>36</v>
      </c>
      <c r="E319" t="s">
        <v>29</v>
      </c>
      <c r="F319" t="s">
        <v>19</v>
      </c>
      <c r="G319">
        <v>1</v>
      </c>
      <c r="H319" s="3">
        <v>399</v>
      </c>
      <c r="I319" s="4">
        <v>0.1</v>
      </c>
      <c r="J319" t="s">
        <v>47</v>
      </c>
      <c r="K319">
        <f t="shared" si="12"/>
        <v>359.1</v>
      </c>
      <c r="L319">
        <f>_xlfn.XLOOKUP(D319,product_cost!A:A,product_cost!B:B)</f>
        <v>180</v>
      </c>
      <c r="M319">
        <f t="shared" si="13"/>
        <v>179.10000000000002</v>
      </c>
      <c r="N319" s="10">
        <f t="shared" si="14"/>
        <v>0.49874686716791983</v>
      </c>
    </row>
    <row r="320" spans="1:14" x14ac:dyDescent="0.25">
      <c r="A320" t="s">
        <v>502</v>
      </c>
      <c r="B320" s="2">
        <v>45992</v>
      </c>
      <c r="C320" t="s">
        <v>64</v>
      </c>
      <c r="D320" t="s">
        <v>62</v>
      </c>
      <c r="E320" t="s">
        <v>24</v>
      </c>
      <c r="F320" t="s">
        <v>25</v>
      </c>
      <c r="G320">
        <v>1</v>
      </c>
      <c r="H320" s="3">
        <v>1499</v>
      </c>
      <c r="I320" s="4">
        <v>0.1</v>
      </c>
      <c r="J320" t="s">
        <v>47</v>
      </c>
      <c r="K320">
        <f t="shared" si="12"/>
        <v>1349.1000000000001</v>
      </c>
      <c r="L320">
        <f>_xlfn.XLOOKUP(D320,product_cost!A:A,product_cost!B:B)</f>
        <v>800</v>
      </c>
      <c r="M320">
        <f t="shared" si="13"/>
        <v>549.10000000000014</v>
      </c>
      <c r="N320" s="10">
        <f t="shared" si="14"/>
        <v>0.40701208212882667</v>
      </c>
    </row>
    <row r="321" spans="1:14" x14ac:dyDescent="0.25">
      <c r="A321" t="s">
        <v>503</v>
      </c>
      <c r="B321" s="2">
        <v>45739</v>
      </c>
      <c r="C321" t="s">
        <v>499</v>
      </c>
      <c r="D321" t="s">
        <v>50</v>
      </c>
      <c r="E321" t="s">
        <v>24</v>
      </c>
      <c r="F321" t="s">
        <v>41</v>
      </c>
      <c r="G321">
        <v>2</v>
      </c>
      <c r="H321" s="3">
        <v>799</v>
      </c>
      <c r="I321" s="4">
        <v>0.15</v>
      </c>
      <c r="J321" t="s">
        <v>15</v>
      </c>
      <c r="K321">
        <f t="shared" si="12"/>
        <v>1358.3</v>
      </c>
      <c r="L321">
        <f>_xlfn.XLOOKUP(D321,product_cost!A:A,product_cost!B:B)</f>
        <v>400</v>
      </c>
      <c r="M321">
        <f t="shared" si="13"/>
        <v>558.29999999999995</v>
      </c>
      <c r="N321" s="10">
        <f t="shared" si="14"/>
        <v>0.41102849149672382</v>
      </c>
    </row>
    <row r="322" spans="1:14" x14ac:dyDescent="0.25">
      <c r="A322" t="s">
        <v>504</v>
      </c>
      <c r="B322" s="2">
        <v>45985</v>
      </c>
      <c r="C322" t="s">
        <v>72</v>
      </c>
      <c r="D322" t="s">
        <v>36</v>
      </c>
      <c r="E322" t="s">
        <v>29</v>
      </c>
      <c r="F322" t="s">
        <v>14</v>
      </c>
      <c r="G322">
        <v>2</v>
      </c>
      <c r="H322" s="3">
        <v>399</v>
      </c>
      <c r="I322" s="4">
        <v>0</v>
      </c>
      <c r="J322" t="s">
        <v>30</v>
      </c>
      <c r="K322">
        <f t="shared" ref="K322:K385" si="15">G322*H322*(1-I322)</f>
        <v>798</v>
      </c>
      <c r="L322">
        <f>_xlfn.XLOOKUP(D322,product_cost!A:A,product_cost!B:B)</f>
        <v>180</v>
      </c>
      <c r="M322">
        <f t="shared" ref="M322:M385" si="16">K322-(G322*L322)</f>
        <v>438</v>
      </c>
      <c r="N322" s="10">
        <f t="shared" ref="N322:N385" si="17">M322/K322</f>
        <v>0.54887218045112784</v>
      </c>
    </row>
    <row r="323" spans="1:14" x14ac:dyDescent="0.25">
      <c r="A323" t="s">
        <v>505</v>
      </c>
      <c r="B323" s="2">
        <v>45736</v>
      </c>
      <c r="C323" t="s">
        <v>506</v>
      </c>
      <c r="D323" t="s">
        <v>62</v>
      </c>
      <c r="E323" t="s">
        <v>24</v>
      </c>
      <c r="F323" t="s">
        <v>25</v>
      </c>
      <c r="G323">
        <v>5</v>
      </c>
      <c r="H323" s="3">
        <v>1499</v>
      </c>
      <c r="I323" s="4">
        <v>0.05</v>
      </c>
      <c r="J323" t="s">
        <v>42</v>
      </c>
      <c r="K323">
        <f t="shared" si="15"/>
        <v>7120.25</v>
      </c>
      <c r="L323">
        <f>_xlfn.XLOOKUP(D323,product_cost!A:A,product_cost!B:B)</f>
        <v>800</v>
      </c>
      <c r="M323">
        <f t="shared" si="16"/>
        <v>3120.25</v>
      </c>
      <c r="N323" s="10">
        <f t="shared" si="17"/>
        <v>0.43822197254309891</v>
      </c>
    </row>
    <row r="324" spans="1:14" x14ac:dyDescent="0.25">
      <c r="A324" t="s">
        <v>507</v>
      </c>
      <c r="B324" s="2">
        <v>45998</v>
      </c>
      <c r="C324" t="s">
        <v>353</v>
      </c>
      <c r="D324" t="s">
        <v>65</v>
      </c>
      <c r="E324" t="s">
        <v>29</v>
      </c>
      <c r="F324" t="s">
        <v>19</v>
      </c>
      <c r="G324">
        <v>2</v>
      </c>
      <c r="H324" s="3">
        <v>1299</v>
      </c>
      <c r="I324" s="4">
        <v>0.05</v>
      </c>
      <c r="J324" t="s">
        <v>42</v>
      </c>
      <c r="K324">
        <f t="shared" si="15"/>
        <v>2468.1</v>
      </c>
      <c r="L324">
        <f>_xlfn.XLOOKUP(D324,product_cost!A:A,product_cost!B:B)</f>
        <v>750</v>
      </c>
      <c r="M324">
        <f t="shared" si="16"/>
        <v>968.09999999999991</v>
      </c>
      <c r="N324" s="10">
        <f t="shared" si="17"/>
        <v>0.39224504679713135</v>
      </c>
    </row>
    <row r="325" spans="1:14" x14ac:dyDescent="0.25">
      <c r="A325" t="s">
        <v>508</v>
      </c>
      <c r="B325" s="2">
        <v>45886</v>
      </c>
      <c r="C325" t="s">
        <v>127</v>
      </c>
      <c r="D325" t="s">
        <v>62</v>
      </c>
      <c r="E325" t="s">
        <v>24</v>
      </c>
      <c r="F325" t="s">
        <v>19</v>
      </c>
      <c r="G325">
        <v>1</v>
      </c>
      <c r="H325" s="3">
        <v>1499</v>
      </c>
      <c r="I325" s="4">
        <v>0.15</v>
      </c>
      <c r="J325" t="s">
        <v>15</v>
      </c>
      <c r="K325">
        <f t="shared" si="15"/>
        <v>1274.1499999999999</v>
      </c>
      <c r="L325">
        <f>_xlfn.XLOOKUP(D325,product_cost!A:A,product_cost!B:B)</f>
        <v>800</v>
      </c>
      <c r="M325">
        <f t="shared" si="16"/>
        <v>474.14999999999986</v>
      </c>
      <c r="N325" s="10">
        <f t="shared" si="17"/>
        <v>0.3721304399011105</v>
      </c>
    </row>
    <row r="326" spans="1:14" x14ac:dyDescent="0.25">
      <c r="A326" t="s">
        <v>509</v>
      </c>
      <c r="B326" s="2">
        <v>45938</v>
      </c>
      <c r="C326" t="s">
        <v>22</v>
      </c>
      <c r="D326" t="s">
        <v>65</v>
      </c>
      <c r="E326" t="s">
        <v>29</v>
      </c>
      <c r="F326" t="s">
        <v>41</v>
      </c>
      <c r="G326">
        <v>2</v>
      </c>
      <c r="H326" s="3">
        <v>1299</v>
      </c>
      <c r="I326" s="4">
        <v>0</v>
      </c>
      <c r="J326" t="s">
        <v>42</v>
      </c>
      <c r="K326">
        <f t="shared" si="15"/>
        <v>2598</v>
      </c>
      <c r="L326">
        <f>_xlfn.XLOOKUP(D326,product_cost!A:A,product_cost!B:B)</f>
        <v>750</v>
      </c>
      <c r="M326">
        <f t="shared" si="16"/>
        <v>1098</v>
      </c>
      <c r="N326" s="10">
        <f t="shared" si="17"/>
        <v>0.42263279445727481</v>
      </c>
    </row>
    <row r="327" spans="1:14" x14ac:dyDescent="0.25">
      <c r="A327" t="s">
        <v>510</v>
      </c>
      <c r="B327" s="2">
        <v>45884</v>
      </c>
      <c r="C327" t="s">
        <v>129</v>
      </c>
      <c r="D327" t="s">
        <v>50</v>
      </c>
      <c r="E327" t="s">
        <v>24</v>
      </c>
      <c r="F327" t="s">
        <v>19</v>
      </c>
      <c r="G327">
        <v>1</v>
      </c>
      <c r="H327" s="3">
        <v>799</v>
      </c>
      <c r="I327" s="4">
        <v>0.05</v>
      </c>
      <c r="J327" t="s">
        <v>42</v>
      </c>
      <c r="K327">
        <f t="shared" si="15"/>
        <v>759.05</v>
      </c>
      <c r="L327">
        <f>_xlfn.XLOOKUP(D327,product_cost!A:A,product_cost!B:B)</f>
        <v>400</v>
      </c>
      <c r="M327">
        <f t="shared" si="16"/>
        <v>359.04999999999995</v>
      </c>
      <c r="N327" s="10">
        <f t="shared" si="17"/>
        <v>0.47302549239180552</v>
      </c>
    </row>
    <row r="328" spans="1:14" x14ac:dyDescent="0.25">
      <c r="A328" t="s">
        <v>511</v>
      </c>
      <c r="B328" s="2">
        <v>45886</v>
      </c>
      <c r="C328" t="s">
        <v>512</v>
      </c>
      <c r="D328" t="s">
        <v>104</v>
      </c>
      <c r="E328" t="s">
        <v>40</v>
      </c>
      <c r="F328" t="s">
        <v>19</v>
      </c>
      <c r="G328">
        <v>1</v>
      </c>
      <c r="H328" s="3">
        <v>999</v>
      </c>
      <c r="I328" s="4">
        <v>0.05</v>
      </c>
      <c r="J328" t="s">
        <v>42</v>
      </c>
      <c r="K328">
        <f t="shared" si="15"/>
        <v>949.05</v>
      </c>
      <c r="L328">
        <f>_xlfn.XLOOKUP(D328,product_cost!A:A,product_cost!B:B)</f>
        <v>550</v>
      </c>
      <c r="M328">
        <f t="shared" si="16"/>
        <v>399.04999999999995</v>
      </c>
      <c r="N328" s="10">
        <f t="shared" si="17"/>
        <v>0.42047310468363097</v>
      </c>
    </row>
    <row r="329" spans="1:14" x14ac:dyDescent="0.25">
      <c r="A329" t="s">
        <v>513</v>
      </c>
      <c r="B329" s="2">
        <v>45894</v>
      </c>
      <c r="C329" t="s">
        <v>170</v>
      </c>
      <c r="D329" t="s">
        <v>28</v>
      </c>
      <c r="E329" t="s">
        <v>29</v>
      </c>
      <c r="F329" t="s">
        <v>19</v>
      </c>
      <c r="G329">
        <v>2</v>
      </c>
      <c r="H329" s="3">
        <v>599</v>
      </c>
      <c r="I329" s="4">
        <v>0.05</v>
      </c>
      <c r="J329" t="s">
        <v>20</v>
      </c>
      <c r="K329">
        <f t="shared" si="15"/>
        <v>1138.0999999999999</v>
      </c>
      <c r="L329">
        <f>_xlfn.XLOOKUP(D329,product_cost!A:A,product_cost!B:B)</f>
        <v>300</v>
      </c>
      <c r="M329">
        <f t="shared" si="16"/>
        <v>538.09999999999991</v>
      </c>
      <c r="N329" s="10">
        <f t="shared" si="17"/>
        <v>0.47280555311484046</v>
      </c>
    </row>
    <row r="330" spans="1:14" x14ac:dyDescent="0.25">
      <c r="A330" t="s">
        <v>514</v>
      </c>
      <c r="B330" s="2">
        <v>45954</v>
      </c>
      <c r="C330" t="s">
        <v>91</v>
      </c>
      <c r="D330" t="s">
        <v>12</v>
      </c>
      <c r="E330" t="s">
        <v>13</v>
      </c>
      <c r="F330" t="s">
        <v>19</v>
      </c>
      <c r="G330">
        <v>1</v>
      </c>
      <c r="H330" s="3">
        <v>1999</v>
      </c>
      <c r="I330" s="4">
        <v>0.1</v>
      </c>
      <c r="J330" t="s">
        <v>15</v>
      </c>
      <c r="K330">
        <f t="shared" si="15"/>
        <v>1799.1000000000001</v>
      </c>
      <c r="L330">
        <f>_xlfn.XLOOKUP(D330,product_cost!A:A,product_cost!B:B)</f>
        <v>1200</v>
      </c>
      <c r="M330">
        <f t="shared" si="16"/>
        <v>599.10000000000014</v>
      </c>
      <c r="N330" s="10">
        <f t="shared" si="17"/>
        <v>0.33299983324995835</v>
      </c>
    </row>
    <row r="331" spans="1:14" x14ac:dyDescent="0.25">
      <c r="A331" t="s">
        <v>515</v>
      </c>
      <c r="B331" s="2">
        <v>45899</v>
      </c>
      <c r="C331" t="s">
        <v>516</v>
      </c>
      <c r="D331" t="s">
        <v>28</v>
      </c>
      <c r="E331" t="s">
        <v>29</v>
      </c>
      <c r="F331" t="s">
        <v>25</v>
      </c>
      <c r="G331">
        <v>1</v>
      </c>
      <c r="H331" s="3">
        <v>599</v>
      </c>
      <c r="I331" s="4">
        <v>0.1</v>
      </c>
      <c r="J331" t="s">
        <v>47</v>
      </c>
      <c r="K331">
        <f t="shared" si="15"/>
        <v>539.1</v>
      </c>
      <c r="L331">
        <f>_xlfn.XLOOKUP(D331,product_cost!A:A,product_cost!B:B)</f>
        <v>300</v>
      </c>
      <c r="M331">
        <f t="shared" si="16"/>
        <v>239.10000000000002</v>
      </c>
      <c r="N331" s="10">
        <f t="shared" si="17"/>
        <v>0.4435169727323317</v>
      </c>
    </row>
    <row r="332" spans="1:14" x14ac:dyDescent="0.25">
      <c r="A332" t="s">
        <v>517</v>
      </c>
      <c r="B332" s="2">
        <v>45853</v>
      </c>
      <c r="C332" t="s">
        <v>395</v>
      </c>
      <c r="D332" t="s">
        <v>39</v>
      </c>
      <c r="E332" t="s">
        <v>40</v>
      </c>
      <c r="F332" t="s">
        <v>14</v>
      </c>
      <c r="G332">
        <v>1</v>
      </c>
      <c r="H332" s="3">
        <v>2999</v>
      </c>
      <c r="I332" s="4">
        <v>0.1</v>
      </c>
      <c r="J332" t="s">
        <v>47</v>
      </c>
      <c r="K332">
        <f t="shared" si="15"/>
        <v>2699.1</v>
      </c>
      <c r="L332">
        <f>_xlfn.XLOOKUP(D332,product_cost!A:A,product_cost!B:B)</f>
        <v>1800</v>
      </c>
      <c r="M332">
        <f t="shared" si="16"/>
        <v>899.09999999999991</v>
      </c>
      <c r="N332" s="10">
        <f t="shared" si="17"/>
        <v>0.33311103701233741</v>
      </c>
    </row>
    <row r="333" spans="1:14" x14ac:dyDescent="0.25">
      <c r="A333" t="s">
        <v>518</v>
      </c>
      <c r="B333" s="2">
        <v>45718</v>
      </c>
      <c r="C333" t="s">
        <v>213</v>
      </c>
      <c r="D333" t="s">
        <v>53</v>
      </c>
      <c r="E333" t="s">
        <v>40</v>
      </c>
      <c r="F333" t="s">
        <v>14</v>
      </c>
      <c r="G333">
        <v>1</v>
      </c>
      <c r="H333" s="3">
        <v>1799</v>
      </c>
      <c r="I333" s="4">
        <v>0</v>
      </c>
      <c r="J333" t="s">
        <v>15</v>
      </c>
      <c r="K333">
        <f t="shared" si="15"/>
        <v>1799</v>
      </c>
      <c r="L333">
        <f>_xlfn.XLOOKUP(D333,product_cost!A:A,product_cost!B:B)</f>
        <v>1000</v>
      </c>
      <c r="M333">
        <f t="shared" si="16"/>
        <v>799</v>
      </c>
      <c r="N333" s="10">
        <f t="shared" si="17"/>
        <v>0.4441356309060589</v>
      </c>
    </row>
    <row r="334" spans="1:14" x14ac:dyDescent="0.25">
      <c r="A334" t="s">
        <v>519</v>
      </c>
      <c r="B334" s="2">
        <v>45669</v>
      </c>
      <c r="C334" t="s">
        <v>470</v>
      </c>
      <c r="D334" t="s">
        <v>104</v>
      </c>
      <c r="E334" t="s">
        <v>40</v>
      </c>
      <c r="F334" t="s">
        <v>25</v>
      </c>
      <c r="G334">
        <v>2</v>
      </c>
      <c r="H334" s="3">
        <v>999</v>
      </c>
      <c r="I334" s="4">
        <v>0.05</v>
      </c>
      <c r="J334" t="s">
        <v>20</v>
      </c>
      <c r="K334">
        <f t="shared" si="15"/>
        <v>1898.1</v>
      </c>
      <c r="L334">
        <f>_xlfn.XLOOKUP(D334,product_cost!A:A,product_cost!B:B)</f>
        <v>550</v>
      </c>
      <c r="M334">
        <f t="shared" si="16"/>
        <v>798.09999999999991</v>
      </c>
      <c r="N334" s="10">
        <f t="shared" si="17"/>
        <v>0.42047310468363097</v>
      </c>
    </row>
    <row r="335" spans="1:14" x14ac:dyDescent="0.25">
      <c r="A335" t="s">
        <v>520</v>
      </c>
      <c r="B335" s="2">
        <v>45784</v>
      </c>
      <c r="C335" t="s">
        <v>148</v>
      </c>
      <c r="D335" t="s">
        <v>36</v>
      </c>
      <c r="E335" t="s">
        <v>29</v>
      </c>
      <c r="F335" t="s">
        <v>19</v>
      </c>
      <c r="G335">
        <v>1</v>
      </c>
      <c r="H335" s="3">
        <v>399</v>
      </c>
      <c r="I335" s="4">
        <v>0</v>
      </c>
      <c r="J335" t="s">
        <v>15</v>
      </c>
      <c r="K335">
        <f t="shared" si="15"/>
        <v>399</v>
      </c>
      <c r="L335">
        <f>_xlfn.XLOOKUP(D335,product_cost!A:A,product_cost!B:B)</f>
        <v>180</v>
      </c>
      <c r="M335">
        <f t="shared" si="16"/>
        <v>219</v>
      </c>
      <c r="N335" s="10">
        <f t="shared" si="17"/>
        <v>0.54887218045112784</v>
      </c>
    </row>
    <row r="336" spans="1:14" x14ac:dyDescent="0.25">
      <c r="A336" t="s">
        <v>521</v>
      </c>
      <c r="B336" s="2">
        <v>45996</v>
      </c>
      <c r="C336" t="s">
        <v>330</v>
      </c>
      <c r="D336" t="s">
        <v>23</v>
      </c>
      <c r="E336" t="s">
        <v>24</v>
      </c>
      <c r="F336" t="s">
        <v>19</v>
      </c>
      <c r="G336">
        <v>3</v>
      </c>
      <c r="H336" s="3">
        <v>3999</v>
      </c>
      <c r="I336" s="4">
        <v>0.15</v>
      </c>
      <c r="J336" t="s">
        <v>20</v>
      </c>
      <c r="K336">
        <f t="shared" si="15"/>
        <v>10197.449999999999</v>
      </c>
      <c r="L336">
        <f>_xlfn.XLOOKUP(D336,product_cost!A:A,product_cost!B:B)</f>
        <v>2600</v>
      </c>
      <c r="M336">
        <f t="shared" si="16"/>
        <v>2397.4499999999989</v>
      </c>
      <c r="N336" s="10">
        <f t="shared" si="17"/>
        <v>0.23510289337040136</v>
      </c>
    </row>
    <row r="337" spans="1:14" x14ac:dyDescent="0.25">
      <c r="A337" t="s">
        <v>522</v>
      </c>
      <c r="B337" s="2">
        <v>45763</v>
      </c>
      <c r="C337" t="s">
        <v>44</v>
      </c>
      <c r="D337" t="s">
        <v>18</v>
      </c>
      <c r="E337" t="s">
        <v>13</v>
      </c>
      <c r="F337" t="s">
        <v>19</v>
      </c>
      <c r="G337">
        <v>2</v>
      </c>
      <c r="H337" s="3">
        <v>2499</v>
      </c>
      <c r="I337" s="4">
        <v>0.05</v>
      </c>
      <c r="J337" t="s">
        <v>20</v>
      </c>
      <c r="K337">
        <f t="shared" si="15"/>
        <v>4748.0999999999995</v>
      </c>
      <c r="L337">
        <f>_xlfn.XLOOKUP(D337,product_cost!A:A,product_cost!B:B)</f>
        <v>1600</v>
      </c>
      <c r="M337">
        <f t="shared" si="16"/>
        <v>1548.0999999999995</v>
      </c>
      <c r="N337" s="10">
        <f t="shared" si="17"/>
        <v>0.3260462079568669</v>
      </c>
    </row>
    <row r="338" spans="1:14" x14ac:dyDescent="0.25">
      <c r="A338" t="s">
        <v>523</v>
      </c>
      <c r="B338" s="2">
        <v>45680</v>
      </c>
      <c r="C338" t="s">
        <v>524</v>
      </c>
      <c r="D338" t="s">
        <v>104</v>
      </c>
      <c r="E338" t="s">
        <v>40</v>
      </c>
      <c r="F338" t="s">
        <v>19</v>
      </c>
      <c r="G338">
        <v>1</v>
      </c>
      <c r="H338" s="3">
        <v>999</v>
      </c>
      <c r="I338" s="4">
        <v>0</v>
      </c>
      <c r="J338" t="s">
        <v>20</v>
      </c>
      <c r="K338">
        <f t="shared" si="15"/>
        <v>999</v>
      </c>
      <c r="L338">
        <f>_xlfn.XLOOKUP(D338,product_cost!A:A,product_cost!B:B)</f>
        <v>550</v>
      </c>
      <c r="M338">
        <f t="shared" si="16"/>
        <v>449</v>
      </c>
      <c r="N338" s="10">
        <f t="shared" si="17"/>
        <v>0.44944944944944942</v>
      </c>
    </row>
    <row r="339" spans="1:14" x14ac:dyDescent="0.25">
      <c r="A339" t="s">
        <v>525</v>
      </c>
      <c r="B339" s="2">
        <v>45915</v>
      </c>
      <c r="C339" t="s">
        <v>361</v>
      </c>
      <c r="D339" t="s">
        <v>65</v>
      </c>
      <c r="E339" t="s">
        <v>29</v>
      </c>
      <c r="F339" t="s">
        <v>41</v>
      </c>
      <c r="G339">
        <v>3</v>
      </c>
      <c r="H339" s="3">
        <v>1299</v>
      </c>
      <c r="I339" s="4">
        <v>0.1</v>
      </c>
      <c r="J339" t="s">
        <v>42</v>
      </c>
      <c r="K339">
        <f t="shared" si="15"/>
        <v>3507.3</v>
      </c>
      <c r="L339">
        <f>_xlfn.XLOOKUP(D339,product_cost!A:A,product_cost!B:B)</f>
        <v>750</v>
      </c>
      <c r="M339">
        <f t="shared" si="16"/>
        <v>1257.3000000000002</v>
      </c>
      <c r="N339" s="10">
        <f t="shared" si="17"/>
        <v>0.35848088273030537</v>
      </c>
    </row>
    <row r="340" spans="1:14" x14ac:dyDescent="0.25">
      <c r="A340" t="s">
        <v>526</v>
      </c>
      <c r="B340" s="2">
        <v>45964</v>
      </c>
      <c r="C340" t="s">
        <v>170</v>
      </c>
      <c r="D340" t="s">
        <v>36</v>
      </c>
      <c r="E340" t="s">
        <v>29</v>
      </c>
      <c r="F340" t="s">
        <v>14</v>
      </c>
      <c r="G340">
        <v>1</v>
      </c>
      <c r="H340" s="3">
        <v>399</v>
      </c>
      <c r="I340" s="4">
        <v>0.15</v>
      </c>
      <c r="J340" t="s">
        <v>30</v>
      </c>
      <c r="K340">
        <f t="shared" si="15"/>
        <v>339.15</v>
      </c>
      <c r="L340">
        <f>_xlfn.XLOOKUP(D340,product_cost!A:A,product_cost!B:B)</f>
        <v>180</v>
      </c>
      <c r="M340">
        <f t="shared" si="16"/>
        <v>159.14999999999998</v>
      </c>
      <c r="N340" s="10">
        <f t="shared" si="17"/>
        <v>0.46926138876603268</v>
      </c>
    </row>
    <row r="341" spans="1:14" x14ac:dyDescent="0.25">
      <c r="A341" t="s">
        <v>527</v>
      </c>
      <c r="B341" s="2">
        <v>45811</v>
      </c>
      <c r="C341" t="s">
        <v>321</v>
      </c>
      <c r="D341" t="s">
        <v>12</v>
      </c>
      <c r="E341" t="s">
        <v>13</v>
      </c>
      <c r="F341" t="s">
        <v>14</v>
      </c>
      <c r="G341">
        <v>2</v>
      </c>
      <c r="H341" s="3">
        <v>1999</v>
      </c>
      <c r="I341" s="4">
        <v>0.05</v>
      </c>
      <c r="J341" t="s">
        <v>30</v>
      </c>
      <c r="K341">
        <f t="shared" si="15"/>
        <v>3798.1</v>
      </c>
      <c r="L341">
        <f>_xlfn.XLOOKUP(D341,product_cost!A:A,product_cost!B:B)</f>
        <v>1200</v>
      </c>
      <c r="M341">
        <f t="shared" si="16"/>
        <v>1398.1</v>
      </c>
      <c r="N341" s="10">
        <f t="shared" si="17"/>
        <v>0.368105105184171</v>
      </c>
    </row>
    <row r="342" spans="1:14" x14ac:dyDescent="0.25">
      <c r="A342" t="s">
        <v>528</v>
      </c>
      <c r="B342" s="2">
        <v>45942</v>
      </c>
      <c r="C342" t="s">
        <v>255</v>
      </c>
      <c r="D342" t="s">
        <v>12</v>
      </c>
      <c r="E342" t="s">
        <v>13</v>
      </c>
      <c r="F342" t="s">
        <v>25</v>
      </c>
      <c r="G342">
        <v>5</v>
      </c>
      <c r="H342" s="3">
        <v>1999</v>
      </c>
      <c r="I342" s="4">
        <v>0.15</v>
      </c>
      <c r="J342" t="s">
        <v>42</v>
      </c>
      <c r="K342">
        <f t="shared" si="15"/>
        <v>8495.75</v>
      </c>
      <c r="L342">
        <f>_xlfn.XLOOKUP(D342,product_cost!A:A,product_cost!B:B)</f>
        <v>1200</v>
      </c>
      <c r="M342">
        <f t="shared" si="16"/>
        <v>2495.75</v>
      </c>
      <c r="N342" s="10">
        <f t="shared" si="17"/>
        <v>0.29376452932348529</v>
      </c>
    </row>
    <row r="343" spans="1:14" x14ac:dyDescent="0.25">
      <c r="A343" t="s">
        <v>529</v>
      </c>
      <c r="B343" s="2">
        <v>45821</v>
      </c>
      <c r="C343" t="s">
        <v>108</v>
      </c>
      <c r="D343" t="s">
        <v>39</v>
      </c>
      <c r="E343" t="s">
        <v>40</v>
      </c>
      <c r="F343" t="s">
        <v>14</v>
      </c>
      <c r="G343">
        <v>1</v>
      </c>
      <c r="H343" s="3">
        <v>2999</v>
      </c>
      <c r="I343" s="4">
        <v>0</v>
      </c>
      <c r="J343" t="s">
        <v>42</v>
      </c>
      <c r="K343">
        <f t="shared" si="15"/>
        <v>2999</v>
      </c>
      <c r="L343">
        <f>_xlfn.XLOOKUP(D343,product_cost!A:A,product_cost!B:B)</f>
        <v>1800</v>
      </c>
      <c r="M343">
        <f t="shared" si="16"/>
        <v>1199</v>
      </c>
      <c r="N343" s="10">
        <f t="shared" si="17"/>
        <v>0.39979993331110369</v>
      </c>
    </row>
    <row r="344" spans="1:14" x14ac:dyDescent="0.25">
      <c r="A344" t="s">
        <v>530</v>
      </c>
      <c r="B344" s="2">
        <v>45900</v>
      </c>
      <c r="C344" t="s">
        <v>79</v>
      </c>
      <c r="D344" t="s">
        <v>65</v>
      </c>
      <c r="E344" t="s">
        <v>29</v>
      </c>
      <c r="F344" t="s">
        <v>25</v>
      </c>
      <c r="G344">
        <v>1</v>
      </c>
      <c r="H344" s="3">
        <v>1299</v>
      </c>
      <c r="I344" s="4">
        <v>0.1</v>
      </c>
      <c r="J344" t="s">
        <v>15</v>
      </c>
      <c r="K344">
        <f t="shared" si="15"/>
        <v>1169.1000000000001</v>
      </c>
      <c r="L344">
        <f>_xlfn.XLOOKUP(D344,product_cost!A:A,product_cost!B:B)</f>
        <v>750</v>
      </c>
      <c r="M344">
        <f t="shared" si="16"/>
        <v>419.10000000000014</v>
      </c>
      <c r="N344" s="10">
        <f t="shared" si="17"/>
        <v>0.35848088273030543</v>
      </c>
    </row>
    <row r="345" spans="1:14" x14ac:dyDescent="0.25">
      <c r="A345" t="s">
        <v>531</v>
      </c>
      <c r="B345" s="2">
        <v>45945</v>
      </c>
      <c r="C345" t="s">
        <v>144</v>
      </c>
      <c r="D345" t="s">
        <v>39</v>
      </c>
      <c r="E345" t="s">
        <v>40</v>
      </c>
      <c r="F345" t="s">
        <v>14</v>
      </c>
      <c r="G345">
        <v>2</v>
      </c>
      <c r="H345" s="3">
        <v>2999</v>
      </c>
      <c r="I345" s="4">
        <v>0</v>
      </c>
      <c r="J345" t="s">
        <v>47</v>
      </c>
      <c r="K345">
        <f t="shared" si="15"/>
        <v>5998</v>
      </c>
      <c r="L345">
        <f>_xlfn.XLOOKUP(D345,product_cost!A:A,product_cost!B:B)</f>
        <v>1800</v>
      </c>
      <c r="M345">
        <f t="shared" si="16"/>
        <v>2398</v>
      </c>
      <c r="N345" s="10">
        <f t="shared" si="17"/>
        <v>0.39979993331110369</v>
      </c>
    </row>
    <row r="346" spans="1:14" x14ac:dyDescent="0.25">
      <c r="A346" t="s">
        <v>532</v>
      </c>
      <c r="B346" s="2">
        <v>45762</v>
      </c>
      <c r="C346" t="s">
        <v>384</v>
      </c>
      <c r="D346" t="s">
        <v>50</v>
      </c>
      <c r="E346" t="s">
        <v>24</v>
      </c>
      <c r="F346" t="s">
        <v>41</v>
      </c>
      <c r="G346">
        <v>1</v>
      </c>
      <c r="H346" s="3">
        <v>799</v>
      </c>
      <c r="I346" s="4">
        <v>0.05</v>
      </c>
      <c r="J346" t="s">
        <v>15</v>
      </c>
      <c r="K346">
        <f t="shared" si="15"/>
        <v>759.05</v>
      </c>
      <c r="L346">
        <f>_xlfn.XLOOKUP(D346,product_cost!A:A,product_cost!B:B)</f>
        <v>400</v>
      </c>
      <c r="M346">
        <f t="shared" si="16"/>
        <v>359.04999999999995</v>
      </c>
      <c r="N346" s="10">
        <f t="shared" si="17"/>
        <v>0.47302549239180552</v>
      </c>
    </row>
    <row r="347" spans="1:14" x14ac:dyDescent="0.25">
      <c r="A347" t="s">
        <v>533</v>
      </c>
      <c r="B347" s="2">
        <v>45932</v>
      </c>
      <c r="C347" t="s">
        <v>158</v>
      </c>
      <c r="D347" t="s">
        <v>12</v>
      </c>
      <c r="E347" t="s">
        <v>13</v>
      </c>
      <c r="F347" t="s">
        <v>19</v>
      </c>
      <c r="G347">
        <v>1</v>
      </c>
      <c r="H347" s="3">
        <v>1999</v>
      </c>
      <c r="I347" s="4">
        <v>0.1</v>
      </c>
      <c r="J347" t="s">
        <v>15</v>
      </c>
      <c r="K347">
        <f t="shared" si="15"/>
        <v>1799.1000000000001</v>
      </c>
      <c r="L347">
        <f>_xlfn.XLOOKUP(D347,product_cost!A:A,product_cost!B:B)</f>
        <v>1200</v>
      </c>
      <c r="M347">
        <f t="shared" si="16"/>
        <v>599.10000000000014</v>
      </c>
      <c r="N347" s="10">
        <f t="shared" si="17"/>
        <v>0.33299983324995835</v>
      </c>
    </row>
    <row r="348" spans="1:14" x14ac:dyDescent="0.25">
      <c r="A348" t="s">
        <v>534</v>
      </c>
      <c r="B348" s="2">
        <v>45754</v>
      </c>
      <c r="C348" t="s">
        <v>27</v>
      </c>
      <c r="D348" t="s">
        <v>62</v>
      </c>
      <c r="E348" t="s">
        <v>24</v>
      </c>
      <c r="F348" t="s">
        <v>14</v>
      </c>
      <c r="G348">
        <v>2</v>
      </c>
      <c r="H348" s="3">
        <v>1499</v>
      </c>
      <c r="I348" s="4">
        <v>0</v>
      </c>
      <c r="J348" t="s">
        <v>47</v>
      </c>
      <c r="K348">
        <f t="shared" si="15"/>
        <v>2998</v>
      </c>
      <c r="L348">
        <f>_xlfn.XLOOKUP(D348,product_cost!A:A,product_cost!B:B)</f>
        <v>800</v>
      </c>
      <c r="M348">
        <f t="shared" si="16"/>
        <v>1398</v>
      </c>
      <c r="N348" s="10">
        <f t="shared" si="17"/>
        <v>0.46631087391594395</v>
      </c>
    </row>
    <row r="349" spans="1:14" x14ac:dyDescent="0.25">
      <c r="A349" t="s">
        <v>535</v>
      </c>
      <c r="B349" s="2">
        <v>45813</v>
      </c>
      <c r="C349" t="s">
        <v>536</v>
      </c>
      <c r="D349" t="s">
        <v>65</v>
      </c>
      <c r="E349" t="s">
        <v>29</v>
      </c>
      <c r="F349" t="s">
        <v>19</v>
      </c>
      <c r="G349">
        <v>4</v>
      </c>
      <c r="H349" s="3">
        <v>1299</v>
      </c>
      <c r="I349" s="4">
        <v>0.2</v>
      </c>
      <c r="J349" t="s">
        <v>30</v>
      </c>
      <c r="K349">
        <f t="shared" si="15"/>
        <v>4156.8</v>
      </c>
      <c r="L349">
        <f>_xlfn.XLOOKUP(D349,product_cost!A:A,product_cost!B:B)</f>
        <v>750</v>
      </c>
      <c r="M349">
        <f t="shared" si="16"/>
        <v>1156.8000000000002</v>
      </c>
      <c r="N349" s="10">
        <f t="shared" si="17"/>
        <v>0.27829099307159355</v>
      </c>
    </row>
    <row r="350" spans="1:14" x14ac:dyDescent="0.25">
      <c r="A350" t="s">
        <v>537</v>
      </c>
      <c r="B350" s="2">
        <v>45782</v>
      </c>
      <c r="C350" t="s">
        <v>108</v>
      </c>
      <c r="D350" t="s">
        <v>23</v>
      </c>
      <c r="E350" t="s">
        <v>24</v>
      </c>
      <c r="F350" t="s">
        <v>14</v>
      </c>
      <c r="G350">
        <v>2</v>
      </c>
      <c r="H350" s="3">
        <v>3999</v>
      </c>
      <c r="I350" s="4">
        <v>0.05</v>
      </c>
      <c r="J350" t="s">
        <v>42</v>
      </c>
      <c r="K350">
        <f t="shared" si="15"/>
        <v>7598.0999999999995</v>
      </c>
      <c r="L350">
        <f>_xlfn.XLOOKUP(D350,product_cost!A:A,product_cost!B:B)</f>
        <v>2600</v>
      </c>
      <c r="M350">
        <f t="shared" si="16"/>
        <v>2398.0999999999995</v>
      </c>
      <c r="N350" s="10">
        <f t="shared" si="17"/>
        <v>0.3156183782787802</v>
      </c>
    </row>
    <row r="351" spans="1:14" x14ac:dyDescent="0.25">
      <c r="A351" t="s">
        <v>538</v>
      </c>
      <c r="B351" s="2">
        <v>45822</v>
      </c>
      <c r="C351" t="s">
        <v>125</v>
      </c>
      <c r="D351" t="s">
        <v>39</v>
      </c>
      <c r="E351" t="s">
        <v>40</v>
      </c>
      <c r="F351" t="s">
        <v>41</v>
      </c>
      <c r="G351">
        <v>2</v>
      </c>
      <c r="H351" s="3">
        <v>2999</v>
      </c>
      <c r="I351" s="4">
        <v>0.1</v>
      </c>
      <c r="J351" t="s">
        <v>47</v>
      </c>
      <c r="K351">
        <f t="shared" si="15"/>
        <v>5398.2</v>
      </c>
      <c r="L351">
        <f>_xlfn.XLOOKUP(D351,product_cost!A:A,product_cost!B:B)</f>
        <v>1800</v>
      </c>
      <c r="M351">
        <f t="shared" si="16"/>
        <v>1798.1999999999998</v>
      </c>
      <c r="N351" s="10">
        <f t="shared" si="17"/>
        <v>0.33311103701233741</v>
      </c>
    </row>
    <row r="352" spans="1:14" x14ac:dyDescent="0.25">
      <c r="A352" t="s">
        <v>539</v>
      </c>
      <c r="B352" s="2">
        <v>45842</v>
      </c>
      <c r="C352" t="s">
        <v>468</v>
      </c>
      <c r="D352" t="s">
        <v>104</v>
      </c>
      <c r="E352" t="s">
        <v>40</v>
      </c>
      <c r="F352" t="s">
        <v>25</v>
      </c>
      <c r="G352">
        <v>2</v>
      </c>
      <c r="H352" s="3">
        <v>999</v>
      </c>
      <c r="I352" s="4">
        <v>0.15</v>
      </c>
      <c r="J352" t="s">
        <v>47</v>
      </c>
      <c r="K352">
        <f t="shared" si="15"/>
        <v>1698.3</v>
      </c>
      <c r="L352">
        <f>_xlfn.XLOOKUP(D352,product_cost!A:A,product_cost!B:B)</f>
        <v>550</v>
      </c>
      <c r="M352">
        <f t="shared" si="16"/>
        <v>598.29999999999995</v>
      </c>
      <c r="N352" s="10">
        <f t="shared" si="17"/>
        <v>0.35229346994052874</v>
      </c>
    </row>
    <row r="353" spans="1:14" x14ac:dyDescent="0.25">
      <c r="A353" t="s">
        <v>540</v>
      </c>
      <c r="B353" s="2">
        <v>45762</v>
      </c>
      <c r="C353" t="s">
        <v>138</v>
      </c>
      <c r="D353" t="s">
        <v>36</v>
      </c>
      <c r="E353" t="s">
        <v>29</v>
      </c>
      <c r="F353" t="s">
        <v>14</v>
      </c>
      <c r="G353">
        <v>1</v>
      </c>
      <c r="H353" s="3">
        <v>399</v>
      </c>
      <c r="I353" s="4">
        <v>0.05</v>
      </c>
      <c r="J353" t="s">
        <v>20</v>
      </c>
      <c r="K353">
        <f t="shared" si="15"/>
        <v>379.04999999999995</v>
      </c>
      <c r="L353">
        <f>_xlfn.XLOOKUP(D353,product_cost!A:A,product_cost!B:B)</f>
        <v>180</v>
      </c>
      <c r="M353">
        <f t="shared" si="16"/>
        <v>199.04999999999995</v>
      </c>
      <c r="N353" s="10">
        <f t="shared" si="17"/>
        <v>0.52512861100118713</v>
      </c>
    </row>
    <row r="354" spans="1:14" x14ac:dyDescent="0.25">
      <c r="A354" t="s">
        <v>541</v>
      </c>
      <c r="B354" s="2">
        <v>45666</v>
      </c>
      <c r="C354" t="s">
        <v>154</v>
      </c>
      <c r="D354" t="s">
        <v>53</v>
      </c>
      <c r="E354" t="s">
        <v>40</v>
      </c>
      <c r="F354" t="s">
        <v>25</v>
      </c>
      <c r="G354">
        <v>4</v>
      </c>
      <c r="H354" s="3">
        <v>1799</v>
      </c>
      <c r="I354" s="4">
        <v>0.05</v>
      </c>
      <c r="J354" t="s">
        <v>47</v>
      </c>
      <c r="K354">
        <f t="shared" si="15"/>
        <v>6836.2</v>
      </c>
      <c r="L354">
        <f>_xlfn.XLOOKUP(D354,product_cost!A:A,product_cost!B:B)</f>
        <v>1000</v>
      </c>
      <c r="M354">
        <f t="shared" si="16"/>
        <v>2836.2</v>
      </c>
      <c r="N354" s="10">
        <f t="shared" si="17"/>
        <v>0.41487961148006203</v>
      </c>
    </row>
    <row r="355" spans="1:14" x14ac:dyDescent="0.25">
      <c r="A355" t="s">
        <v>542</v>
      </c>
      <c r="B355" s="2">
        <v>45736</v>
      </c>
      <c r="C355" t="s">
        <v>447</v>
      </c>
      <c r="D355" t="s">
        <v>36</v>
      </c>
      <c r="E355" t="s">
        <v>29</v>
      </c>
      <c r="F355" t="s">
        <v>14</v>
      </c>
      <c r="G355">
        <v>1</v>
      </c>
      <c r="H355" s="3">
        <v>399</v>
      </c>
      <c r="I355" s="4">
        <v>0.05</v>
      </c>
      <c r="J355" t="s">
        <v>30</v>
      </c>
      <c r="K355">
        <f t="shared" si="15"/>
        <v>379.04999999999995</v>
      </c>
      <c r="L355">
        <f>_xlfn.XLOOKUP(D355,product_cost!A:A,product_cost!B:B)</f>
        <v>180</v>
      </c>
      <c r="M355">
        <f t="shared" si="16"/>
        <v>199.04999999999995</v>
      </c>
      <c r="N355" s="10">
        <f t="shared" si="17"/>
        <v>0.52512861100118713</v>
      </c>
    </row>
    <row r="356" spans="1:14" x14ac:dyDescent="0.25">
      <c r="A356" t="s">
        <v>543</v>
      </c>
      <c r="B356" s="2">
        <v>45939</v>
      </c>
      <c r="C356" t="s">
        <v>96</v>
      </c>
      <c r="D356" t="s">
        <v>50</v>
      </c>
      <c r="E356" t="s">
        <v>24</v>
      </c>
      <c r="F356" t="s">
        <v>25</v>
      </c>
      <c r="G356">
        <v>1</v>
      </c>
      <c r="H356" s="3">
        <v>799</v>
      </c>
      <c r="I356" s="4">
        <v>0.1</v>
      </c>
      <c r="J356" t="s">
        <v>30</v>
      </c>
      <c r="K356">
        <f t="shared" si="15"/>
        <v>719.1</v>
      </c>
      <c r="L356">
        <f>_xlfn.XLOOKUP(D356,product_cost!A:A,product_cost!B:B)</f>
        <v>400</v>
      </c>
      <c r="M356">
        <f t="shared" si="16"/>
        <v>319.10000000000002</v>
      </c>
      <c r="N356" s="10">
        <f t="shared" si="17"/>
        <v>0.44374913085801698</v>
      </c>
    </row>
    <row r="357" spans="1:14" x14ac:dyDescent="0.25">
      <c r="A357" t="s">
        <v>544</v>
      </c>
      <c r="B357" s="2">
        <v>45893</v>
      </c>
      <c r="C357" t="s">
        <v>52</v>
      </c>
      <c r="D357" t="s">
        <v>62</v>
      </c>
      <c r="E357" t="s">
        <v>24</v>
      </c>
      <c r="F357" t="s">
        <v>25</v>
      </c>
      <c r="G357">
        <v>3</v>
      </c>
      <c r="H357" s="3">
        <v>1499</v>
      </c>
      <c r="I357" s="4">
        <v>0</v>
      </c>
      <c r="J357" t="s">
        <v>20</v>
      </c>
      <c r="K357">
        <f t="shared" si="15"/>
        <v>4497</v>
      </c>
      <c r="L357">
        <f>_xlfn.XLOOKUP(D357,product_cost!A:A,product_cost!B:B)</f>
        <v>800</v>
      </c>
      <c r="M357">
        <f t="shared" si="16"/>
        <v>2097</v>
      </c>
      <c r="N357" s="10">
        <f t="shared" si="17"/>
        <v>0.46631087391594395</v>
      </c>
    </row>
    <row r="358" spans="1:14" x14ac:dyDescent="0.25">
      <c r="A358" t="s">
        <v>545</v>
      </c>
      <c r="B358" s="2">
        <v>45935</v>
      </c>
      <c r="C358" t="s">
        <v>152</v>
      </c>
      <c r="D358" t="s">
        <v>12</v>
      </c>
      <c r="E358" t="s">
        <v>13</v>
      </c>
      <c r="F358" t="s">
        <v>19</v>
      </c>
      <c r="G358">
        <v>2</v>
      </c>
      <c r="H358" s="3">
        <v>1999</v>
      </c>
      <c r="I358" s="4">
        <v>0.15</v>
      </c>
      <c r="J358" t="s">
        <v>15</v>
      </c>
      <c r="K358">
        <f t="shared" si="15"/>
        <v>3398.2999999999997</v>
      </c>
      <c r="L358">
        <f>_xlfn.XLOOKUP(D358,product_cost!A:A,product_cost!B:B)</f>
        <v>1200</v>
      </c>
      <c r="M358">
        <f t="shared" si="16"/>
        <v>998.29999999999973</v>
      </c>
      <c r="N358" s="10">
        <f t="shared" si="17"/>
        <v>0.29376452932348524</v>
      </c>
    </row>
    <row r="359" spans="1:14" x14ac:dyDescent="0.25">
      <c r="A359" t="s">
        <v>546</v>
      </c>
      <c r="B359" s="2">
        <v>45661</v>
      </c>
      <c r="C359" t="s">
        <v>144</v>
      </c>
      <c r="D359" t="s">
        <v>33</v>
      </c>
      <c r="E359" t="s">
        <v>13</v>
      </c>
      <c r="F359" t="s">
        <v>14</v>
      </c>
      <c r="G359">
        <v>3</v>
      </c>
      <c r="H359" s="3">
        <v>3499</v>
      </c>
      <c r="I359" s="4">
        <v>0</v>
      </c>
      <c r="J359" t="s">
        <v>15</v>
      </c>
      <c r="K359">
        <f t="shared" si="15"/>
        <v>10497</v>
      </c>
      <c r="L359">
        <f>_xlfn.XLOOKUP(D359,product_cost!A:A,product_cost!B:B)</f>
        <v>2300</v>
      </c>
      <c r="M359">
        <f t="shared" si="16"/>
        <v>3597</v>
      </c>
      <c r="N359" s="10">
        <f t="shared" si="17"/>
        <v>0.34266933409545586</v>
      </c>
    </row>
    <row r="360" spans="1:14" x14ac:dyDescent="0.25">
      <c r="A360" t="s">
        <v>547</v>
      </c>
      <c r="B360" s="2">
        <v>45769</v>
      </c>
      <c r="C360" t="s">
        <v>22</v>
      </c>
      <c r="D360" t="s">
        <v>104</v>
      </c>
      <c r="E360" t="s">
        <v>40</v>
      </c>
      <c r="F360" t="s">
        <v>25</v>
      </c>
      <c r="G360">
        <v>1</v>
      </c>
      <c r="H360" s="3">
        <v>999</v>
      </c>
      <c r="I360" s="4">
        <v>0.1</v>
      </c>
      <c r="J360" t="s">
        <v>30</v>
      </c>
      <c r="K360">
        <f t="shared" si="15"/>
        <v>899.1</v>
      </c>
      <c r="L360">
        <f>_xlfn.XLOOKUP(D360,product_cost!A:A,product_cost!B:B)</f>
        <v>550</v>
      </c>
      <c r="M360">
        <f t="shared" si="16"/>
        <v>349.1</v>
      </c>
      <c r="N360" s="10">
        <f t="shared" si="17"/>
        <v>0.38827716605494383</v>
      </c>
    </row>
    <row r="361" spans="1:14" x14ac:dyDescent="0.25">
      <c r="A361" t="s">
        <v>548</v>
      </c>
      <c r="B361" s="2">
        <v>45666</v>
      </c>
      <c r="C361" t="s">
        <v>89</v>
      </c>
      <c r="D361" t="s">
        <v>53</v>
      </c>
      <c r="E361" t="s">
        <v>40</v>
      </c>
      <c r="F361" t="s">
        <v>41</v>
      </c>
      <c r="G361">
        <v>2</v>
      </c>
      <c r="H361" s="3">
        <v>1799</v>
      </c>
      <c r="I361" s="4">
        <v>0</v>
      </c>
      <c r="J361" t="s">
        <v>42</v>
      </c>
      <c r="K361">
        <f t="shared" si="15"/>
        <v>3598</v>
      </c>
      <c r="L361">
        <f>_xlfn.XLOOKUP(D361,product_cost!A:A,product_cost!B:B)</f>
        <v>1000</v>
      </c>
      <c r="M361">
        <f t="shared" si="16"/>
        <v>1598</v>
      </c>
      <c r="N361" s="10">
        <f t="shared" si="17"/>
        <v>0.4441356309060589</v>
      </c>
    </row>
    <row r="362" spans="1:14" x14ac:dyDescent="0.25">
      <c r="A362" t="s">
        <v>549</v>
      </c>
      <c r="B362" s="2">
        <v>45804</v>
      </c>
      <c r="C362" t="s">
        <v>224</v>
      </c>
      <c r="D362" t="s">
        <v>53</v>
      </c>
      <c r="E362" t="s">
        <v>40</v>
      </c>
      <c r="F362" t="s">
        <v>14</v>
      </c>
      <c r="G362">
        <v>3</v>
      </c>
      <c r="H362" s="3">
        <v>1799</v>
      </c>
      <c r="I362" s="4">
        <v>0.1</v>
      </c>
      <c r="J362" t="s">
        <v>15</v>
      </c>
      <c r="K362">
        <f t="shared" si="15"/>
        <v>4857.3</v>
      </c>
      <c r="L362">
        <f>_xlfn.XLOOKUP(D362,product_cost!A:A,product_cost!B:B)</f>
        <v>1000</v>
      </c>
      <c r="M362">
        <f t="shared" si="16"/>
        <v>1857.3000000000002</v>
      </c>
      <c r="N362" s="10">
        <f t="shared" si="17"/>
        <v>0.38237292322895439</v>
      </c>
    </row>
    <row r="363" spans="1:14" x14ac:dyDescent="0.25">
      <c r="A363" t="s">
        <v>550</v>
      </c>
      <c r="B363" s="2">
        <v>45707</v>
      </c>
      <c r="C363" t="s">
        <v>282</v>
      </c>
      <c r="D363" t="s">
        <v>33</v>
      </c>
      <c r="E363" t="s">
        <v>13</v>
      </c>
      <c r="F363" t="s">
        <v>41</v>
      </c>
      <c r="G363">
        <v>1</v>
      </c>
      <c r="H363" s="3">
        <v>3499</v>
      </c>
      <c r="I363" s="4">
        <v>0.1</v>
      </c>
      <c r="J363" t="s">
        <v>47</v>
      </c>
      <c r="K363">
        <f t="shared" si="15"/>
        <v>3149.1</v>
      </c>
      <c r="L363">
        <f>_xlfn.XLOOKUP(D363,product_cost!A:A,product_cost!B:B)</f>
        <v>2300</v>
      </c>
      <c r="M363">
        <f t="shared" si="16"/>
        <v>849.09999999999991</v>
      </c>
      <c r="N363" s="10">
        <f t="shared" si="17"/>
        <v>0.26963259343939538</v>
      </c>
    </row>
    <row r="364" spans="1:14" x14ac:dyDescent="0.25">
      <c r="A364" t="s">
        <v>551</v>
      </c>
      <c r="B364" s="2">
        <v>45794</v>
      </c>
      <c r="C364" t="s">
        <v>359</v>
      </c>
      <c r="D364" t="s">
        <v>18</v>
      </c>
      <c r="E364" t="s">
        <v>13</v>
      </c>
      <c r="F364" t="s">
        <v>14</v>
      </c>
      <c r="G364">
        <v>1</v>
      </c>
      <c r="H364" s="3">
        <v>2499</v>
      </c>
      <c r="I364" s="4">
        <v>0.05</v>
      </c>
      <c r="J364" t="s">
        <v>20</v>
      </c>
      <c r="K364">
        <f t="shared" si="15"/>
        <v>2374.0499999999997</v>
      </c>
      <c r="L364">
        <f>_xlfn.XLOOKUP(D364,product_cost!A:A,product_cost!B:B)</f>
        <v>1600</v>
      </c>
      <c r="M364">
        <f t="shared" si="16"/>
        <v>774.04999999999973</v>
      </c>
      <c r="N364" s="10">
        <f t="shared" si="17"/>
        <v>0.3260462079568669</v>
      </c>
    </row>
    <row r="365" spans="1:14" x14ac:dyDescent="0.25">
      <c r="A365" t="s">
        <v>552</v>
      </c>
      <c r="B365" s="2">
        <v>45811</v>
      </c>
      <c r="C365" t="s">
        <v>237</v>
      </c>
      <c r="D365" t="s">
        <v>18</v>
      </c>
      <c r="E365" t="s">
        <v>13</v>
      </c>
      <c r="F365" t="s">
        <v>19</v>
      </c>
      <c r="G365">
        <v>2</v>
      </c>
      <c r="H365" s="3">
        <v>2499</v>
      </c>
      <c r="I365" s="4">
        <v>0.15</v>
      </c>
      <c r="J365" t="s">
        <v>15</v>
      </c>
      <c r="K365">
        <f t="shared" si="15"/>
        <v>4248.3</v>
      </c>
      <c r="L365">
        <f>_xlfn.XLOOKUP(D365,product_cost!A:A,product_cost!B:B)</f>
        <v>1600</v>
      </c>
      <c r="M365">
        <f t="shared" si="16"/>
        <v>1048.3000000000002</v>
      </c>
      <c r="N365" s="10">
        <f t="shared" si="17"/>
        <v>0.24675752654002781</v>
      </c>
    </row>
    <row r="366" spans="1:14" x14ac:dyDescent="0.25">
      <c r="A366" t="s">
        <v>553</v>
      </c>
      <c r="B366" s="2">
        <v>45865</v>
      </c>
      <c r="C366" t="s">
        <v>46</v>
      </c>
      <c r="D366" t="s">
        <v>39</v>
      </c>
      <c r="E366" t="s">
        <v>40</v>
      </c>
      <c r="F366" t="s">
        <v>19</v>
      </c>
      <c r="G366">
        <v>2</v>
      </c>
      <c r="H366" s="3">
        <v>2999</v>
      </c>
      <c r="I366" s="4">
        <v>0</v>
      </c>
      <c r="J366" t="s">
        <v>20</v>
      </c>
      <c r="K366">
        <f t="shared" si="15"/>
        <v>5998</v>
      </c>
      <c r="L366">
        <f>_xlfn.XLOOKUP(D366,product_cost!A:A,product_cost!B:B)</f>
        <v>1800</v>
      </c>
      <c r="M366">
        <f t="shared" si="16"/>
        <v>2398</v>
      </c>
      <c r="N366" s="10">
        <f t="shared" si="17"/>
        <v>0.39979993331110369</v>
      </c>
    </row>
    <row r="367" spans="1:14" x14ac:dyDescent="0.25">
      <c r="A367" t="s">
        <v>554</v>
      </c>
      <c r="B367" s="2">
        <v>45700</v>
      </c>
      <c r="C367" t="s">
        <v>59</v>
      </c>
      <c r="D367" t="s">
        <v>39</v>
      </c>
      <c r="E367" t="s">
        <v>40</v>
      </c>
      <c r="F367" t="s">
        <v>19</v>
      </c>
      <c r="G367">
        <v>2</v>
      </c>
      <c r="H367" s="3">
        <v>2999</v>
      </c>
      <c r="I367" s="4">
        <v>0</v>
      </c>
      <c r="J367" t="s">
        <v>42</v>
      </c>
      <c r="K367">
        <f t="shared" si="15"/>
        <v>5998</v>
      </c>
      <c r="L367">
        <f>_xlfn.XLOOKUP(D367,product_cost!A:A,product_cost!B:B)</f>
        <v>1800</v>
      </c>
      <c r="M367">
        <f t="shared" si="16"/>
        <v>2398</v>
      </c>
      <c r="N367" s="10">
        <f t="shared" si="17"/>
        <v>0.39979993331110369</v>
      </c>
    </row>
    <row r="368" spans="1:14" x14ac:dyDescent="0.25">
      <c r="A368" t="s">
        <v>555</v>
      </c>
      <c r="B368" s="2">
        <v>45679</v>
      </c>
      <c r="C368" t="s">
        <v>556</v>
      </c>
      <c r="D368" t="s">
        <v>65</v>
      </c>
      <c r="E368" t="s">
        <v>29</v>
      </c>
      <c r="F368" t="s">
        <v>25</v>
      </c>
      <c r="G368">
        <v>4</v>
      </c>
      <c r="H368" s="3">
        <v>1299</v>
      </c>
      <c r="I368" s="4">
        <v>0.1</v>
      </c>
      <c r="J368" t="s">
        <v>47</v>
      </c>
      <c r="K368">
        <f t="shared" si="15"/>
        <v>4676.4000000000005</v>
      </c>
      <c r="L368">
        <f>_xlfn.XLOOKUP(D368,product_cost!A:A,product_cost!B:B)</f>
        <v>750</v>
      </c>
      <c r="M368">
        <f t="shared" si="16"/>
        <v>1676.4000000000005</v>
      </c>
      <c r="N368" s="10">
        <f t="shared" si="17"/>
        <v>0.35848088273030543</v>
      </c>
    </row>
    <row r="369" spans="1:14" x14ac:dyDescent="0.25">
      <c r="A369" t="s">
        <v>557</v>
      </c>
      <c r="B369" s="2">
        <v>45681</v>
      </c>
      <c r="C369" t="s">
        <v>207</v>
      </c>
      <c r="D369" t="s">
        <v>50</v>
      </c>
      <c r="E369" t="s">
        <v>24</v>
      </c>
      <c r="F369" t="s">
        <v>19</v>
      </c>
      <c r="G369">
        <v>4</v>
      </c>
      <c r="H369" s="3">
        <v>799</v>
      </c>
      <c r="I369" s="4">
        <v>0.15</v>
      </c>
      <c r="J369" t="s">
        <v>20</v>
      </c>
      <c r="K369">
        <f t="shared" si="15"/>
        <v>2716.6</v>
      </c>
      <c r="L369">
        <f>_xlfn.XLOOKUP(D369,product_cost!A:A,product_cost!B:B)</f>
        <v>400</v>
      </c>
      <c r="M369">
        <f t="shared" si="16"/>
        <v>1116.5999999999999</v>
      </c>
      <c r="N369" s="10">
        <f t="shared" si="17"/>
        <v>0.41102849149672382</v>
      </c>
    </row>
    <row r="370" spans="1:14" x14ac:dyDescent="0.25">
      <c r="A370" t="s">
        <v>558</v>
      </c>
      <c r="B370" s="2">
        <v>45819</v>
      </c>
      <c r="C370" t="s">
        <v>224</v>
      </c>
      <c r="D370" t="s">
        <v>65</v>
      </c>
      <c r="E370" t="s">
        <v>29</v>
      </c>
      <c r="F370" t="s">
        <v>25</v>
      </c>
      <c r="G370">
        <v>2</v>
      </c>
      <c r="H370" s="3">
        <v>1299</v>
      </c>
      <c r="I370" s="4">
        <v>0.1</v>
      </c>
      <c r="J370" t="s">
        <v>15</v>
      </c>
      <c r="K370">
        <f t="shared" si="15"/>
        <v>2338.2000000000003</v>
      </c>
      <c r="L370">
        <f>_xlfn.XLOOKUP(D370,product_cost!A:A,product_cost!B:B)</f>
        <v>750</v>
      </c>
      <c r="M370">
        <f t="shared" si="16"/>
        <v>838.20000000000027</v>
      </c>
      <c r="N370" s="10">
        <f t="shared" si="17"/>
        <v>0.35848088273030543</v>
      </c>
    </row>
    <row r="371" spans="1:14" x14ac:dyDescent="0.25">
      <c r="A371" t="s">
        <v>559</v>
      </c>
      <c r="B371" s="2">
        <v>45811</v>
      </c>
      <c r="C371" t="s">
        <v>75</v>
      </c>
      <c r="D371" t="s">
        <v>23</v>
      </c>
      <c r="E371" t="s">
        <v>24</v>
      </c>
      <c r="F371" t="s">
        <v>25</v>
      </c>
      <c r="G371">
        <v>1</v>
      </c>
      <c r="H371" s="3">
        <v>3999</v>
      </c>
      <c r="I371" s="4">
        <v>0.15</v>
      </c>
      <c r="J371" t="s">
        <v>42</v>
      </c>
      <c r="K371">
        <f t="shared" si="15"/>
        <v>3399.15</v>
      </c>
      <c r="L371">
        <f>_xlfn.XLOOKUP(D371,product_cost!A:A,product_cost!B:B)</f>
        <v>2600</v>
      </c>
      <c r="M371">
        <f t="shared" si="16"/>
        <v>799.15000000000009</v>
      </c>
      <c r="N371" s="10">
        <f t="shared" si="17"/>
        <v>0.23510289337040144</v>
      </c>
    </row>
    <row r="372" spans="1:14" x14ac:dyDescent="0.25">
      <c r="A372" t="s">
        <v>560</v>
      </c>
      <c r="B372" s="2">
        <v>45827</v>
      </c>
      <c r="C372" t="s">
        <v>68</v>
      </c>
      <c r="D372" t="s">
        <v>62</v>
      </c>
      <c r="E372" t="s">
        <v>24</v>
      </c>
      <c r="F372" t="s">
        <v>19</v>
      </c>
      <c r="G372">
        <v>1</v>
      </c>
      <c r="H372" s="3">
        <v>1499</v>
      </c>
      <c r="I372" s="4">
        <v>0.2</v>
      </c>
      <c r="J372" t="s">
        <v>42</v>
      </c>
      <c r="K372">
        <f t="shared" si="15"/>
        <v>1199.2</v>
      </c>
      <c r="L372">
        <f>_xlfn.XLOOKUP(D372,product_cost!A:A,product_cost!B:B)</f>
        <v>800</v>
      </c>
      <c r="M372">
        <f t="shared" si="16"/>
        <v>399.20000000000005</v>
      </c>
      <c r="N372" s="10">
        <f t="shared" si="17"/>
        <v>0.33288859239492996</v>
      </c>
    </row>
    <row r="373" spans="1:14" x14ac:dyDescent="0.25">
      <c r="A373" t="s">
        <v>561</v>
      </c>
      <c r="B373" s="2">
        <v>45835</v>
      </c>
      <c r="C373" t="s">
        <v>232</v>
      </c>
      <c r="D373" t="s">
        <v>18</v>
      </c>
      <c r="E373" t="s">
        <v>13</v>
      </c>
      <c r="F373" t="s">
        <v>41</v>
      </c>
      <c r="G373">
        <v>1</v>
      </c>
      <c r="H373" s="3">
        <v>2499</v>
      </c>
      <c r="I373" s="4">
        <v>0.15</v>
      </c>
      <c r="J373" t="s">
        <v>42</v>
      </c>
      <c r="K373">
        <f t="shared" si="15"/>
        <v>2124.15</v>
      </c>
      <c r="L373">
        <f>_xlfn.XLOOKUP(D373,product_cost!A:A,product_cost!B:B)</f>
        <v>1600</v>
      </c>
      <c r="M373">
        <f t="shared" si="16"/>
        <v>524.15000000000009</v>
      </c>
      <c r="N373" s="10">
        <f t="shared" si="17"/>
        <v>0.24675752654002781</v>
      </c>
    </row>
    <row r="374" spans="1:14" x14ac:dyDescent="0.25">
      <c r="A374" t="s">
        <v>562</v>
      </c>
      <c r="B374" s="2">
        <v>45972</v>
      </c>
      <c r="C374" t="s">
        <v>221</v>
      </c>
      <c r="D374" t="s">
        <v>39</v>
      </c>
      <c r="E374" t="s">
        <v>40</v>
      </c>
      <c r="F374" t="s">
        <v>41</v>
      </c>
      <c r="G374">
        <v>4</v>
      </c>
      <c r="H374" s="3">
        <v>2999</v>
      </c>
      <c r="I374" s="4">
        <v>0</v>
      </c>
      <c r="J374" t="s">
        <v>30</v>
      </c>
      <c r="K374">
        <f t="shared" si="15"/>
        <v>11996</v>
      </c>
      <c r="L374">
        <f>_xlfn.XLOOKUP(D374,product_cost!A:A,product_cost!B:B)</f>
        <v>1800</v>
      </c>
      <c r="M374">
        <f t="shared" si="16"/>
        <v>4796</v>
      </c>
      <c r="N374" s="10">
        <f t="shared" si="17"/>
        <v>0.39979993331110369</v>
      </c>
    </row>
    <row r="375" spans="1:14" x14ac:dyDescent="0.25">
      <c r="A375" t="s">
        <v>563</v>
      </c>
      <c r="B375" s="2">
        <v>45909</v>
      </c>
      <c r="C375" t="s">
        <v>556</v>
      </c>
      <c r="D375" t="s">
        <v>36</v>
      </c>
      <c r="E375" t="s">
        <v>29</v>
      </c>
      <c r="F375" t="s">
        <v>14</v>
      </c>
      <c r="G375">
        <v>2</v>
      </c>
      <c r="H375" s="3">
        <v>399</v>
      </c>
      <c r="I375" s="4">
        <v>0.05</v>
      </c>
      <c r="J375" t="s">
        <v>42</v>
      </c>
      <c r="K375">
        <f t="shared" si="15"/>
        <v>758.09999999999991</v>
      </c>
      <c r="L375">
        <f>_xlfn.XLOOKUP(D375,product_cost!A:A,product_cost!B:B)</f>
        <v>180</v>
      </c>
      <c r="M375">
        <f t="shared" si="16"/>
        <v>398.09999999999991</v>
      </c>
      <c r="N375" s="10">
        <f t="shared" si="17"/>
        <v>0.52512861100118713</v>
      </c>
    </row>
    <row r="376" spans="1:14" x14ac:dyDescent="0.25">
      <c r="A376" t="s">
        <v>564</v>
      </c>
      <c r="B376" s="2">
        <v>45996</v>
      </c>
      <c r="C376" t="s">
        <v>46</v>
      </c>
      <c r="D376" t="s">
        <v>18</v>
      </c>
      <c r="E376" t="s">
        <v>13</v>
      </c>
      <c r="F376" t="s">
        <v>14</v>
      </c>
      <c r="G376">
        <v>3</v>
      </c>
      <c r="H376" s="3">
        <v>2499</v>
      </c>
      <c r="I376" s="4">
        <v>0</v>
      </c>
      <c r="J376" t="s">
        <v>15</v>
      </c>
      <c r="K376">
        <f t="shared" si="15"/>
        <v>7497</v>
      </c>
      <c r="L376">
        <f>_xlfn.XLOOKUP(D376,product_cost!A:A,product_cost!B:B)</f>
        <v>1600</v>
      </c>
      <c r="M376">
        <f t="shared" si="16"/>
        <v>2697</v>
      </c>
      <c r="N376" s="10">
        <f t="shared" si="17"/>
        <v>0.35974389755902358</v>
      </c>
    </row>
    <row r="377" spans="1:14" x14ac:dyDescent="0.25">
      <c r="A377" t="s">
        <v>565</v>
      </c>
      <c r="B377" s="2">
        <v>45700</v>
      </c>
      <c r="C377" t="s">
        <v>275</v>
      </c>
      <c r="D377" t="s">
        <v>33</v>
      </c>
      <c r="E377" t="s">
        <v>13</v>
      </c>
      <c r="F377" t="s">
        <v>14</v>
      </c>
      <c r="G377">
        <v>1</v>
      </c>
      <c r="H377" s="3">
        <v>3499</v>
      </c>
      <c r="I377" s="4">
        <v>0.1</v>
      </c>
      <c r="J377" t="s">
        <v>30</v>
      </c>
      <c r="K377">
        <f t="shared" si="15"/>
        <v>3149.1</v>
      </c>
      <c r="L377">
        <f>_xlfn.XLOOKUP(D377,product_cost!A:A,product_cost!B:B)</f>
        <v>2300</v>
      </c>
      <c r="M377">
        <f t="shared" si="16"/>
        <v>849.09999999999991</v>
      </c>
      <c r="N377" s="10">
        <f t="shared" si="17"/>
        <v>0.26963259343939538</v>
      </c>
    </row>
    <row r="378" spans="1:14" x14ac:dyDescent="0.25">
      <c r="A378" t="s">
        <v>566</v>
      </c>
      <c r="B378" s="2">
        <v>45820</v>
      </c>
      <c r="C378" t="s">
        <v>64</v>
      </c>
      <c r="D378" t="s">
        <v>18</v>
      </c>
      <c r="E378" t="s">
        <v>13</v>
      </c>
      <c r="F378" t="s">
        <v>25</v>
      </c>
      <c r="G378">
        <v>1</v>
      </c>
      <c r="H378" s="3">
        <v>2499</v>
      </c>
      <c r="I378" s="4">
        <v>0.15</v>
      </c>
      <c r="J378" t="s">
        <v>47</v>
      </c>
      <c r="K378">
        <f t="shared" si="15"/>
        <v>2124.15</v>
      </c>
      <c r="L378">
        <f>_xlfn.XLOOKUP(D378,product_cost!A:A,product_cost!B:B)</f>
        <v>1600</v>
      </c>
      <c r="M378">
        <f t="shared" si="16"/>
        <v>524.15000000000009</v>
      </c>
      <c r="N378" s="10">
        <f t="shared" si="17"/>
        <v>0.24675752654002781</v>
      </c>
    </row>
    <row r="379" spans="1:14" x14ac:dyDescent="0.25">
      <c r="A379" t="s">
        <v>567</v>
      </c>
      <c r="B379" s="2">
        <v>45796</v>
      </c>
      <c r="C379" t="s">
        <v>380</v>
      </c>
      <c r="D379" t="s">
        <v>33</v>
      </c>
      <c r="E379" t="s">
        <v>13</v>
      </c>
      <c r="F379" t="s">
        <v>25</v>
      </c>
      <c r="G379">
        <v>1</v>
      </c>
      <c r="H379" s="3">
        <v>3499</v>
      </c>
      <c r="I379" s="4">
        <v>0.05</v>
      </c>
      <c r="J379" t="s">
        <v>15</v>
      </c>
      <c r="K379">
        <f t="shared" si="15"/>
        <v>3324.0499999999997</v>
      </c>
      <c r="L379">
        <f>_xlfn.XLOOKUP(D379,product_cost!A:A,product_cost!B:B)</f>
        <v>2300</v>
      </c>
      <c r="M379">
        <f t="shared" si="16"/>
        <v>1024.0499999999997</v>
      </c>
      <c r="N379" s="10">
        <f t="shared" si="17"/>
        <v>0.30807298325837451</v>
      </c>
    </row>
    <row r="380" spans="1:14" x14ac:dyDescent="0.25">
      <c r="A380" t="s">
        <v>568</v>
      </c>
      <c r="B380" s="2">
        <v>45671</v>
      </c>
      <c r="C380" t="s">
        <v>569</v>
      </c>
      <c r="D380" t="s">
        <v>36</v>
      </c>
      <c r="E380" t="s">
        <v>29</v>
      </c>
      <c r="F380" t="s">
        <v>41</v>
      </c>
      <c r="G380">
        <v>2</v>
      </c>
      <c r="H380" s="3">
        <v>399</v>
      </c>
      <c r="I380" s="4">
        <v>0.05</v>
      </c>
      <c r="J380" t="s">
        <v>30</v>
      </c>
      <c r="K380">
        <f t="shared" si="15"/>
        <v>758.09999999999991</v>
      </c>
      <c r="L380">
        <f>_xlfn.XLOOKUP(D380,product_cost!A:A,product_cost!B:B)</f>
        <v>180</v>
      </c>
      <c r="M380">
        <f t="shared" si="16"/>
        <v>398.09999999999991</v>
      </c>
      <c r="N380" s="10">
        <f t="shared" si="17"/>
        <v>0.52512861100118713</v>
      </c>
    </row>
    <row r="381" spans="1:14" x14ac:dyDescent="0.25">
      <c r="A381" t="s">
        <v>570</v>
      </c>
      <c r="B381" s="2">
        <v>45664</v>
      </c>
      <c r="C381" t="s">
        <v>361</v>
      </c>
      <c r="D381" t="s">
        <v>39</v>
      </c>
      <c r="E381" t="s">
        <v>40</v>
      </c>
      <c r="F381" t="s">
        <v>14</v>
      </c>
      <c r="G381">
        <v>1</v>
      </c>
      <c r="H381" s="3">
        <v>2999</v>
      </c>
      <c r="I381" s="4">
        <v>0</v>
      </c>
      <c r="J381" t="s">
        <v>42</v>
      </c>
      <c r="K381">
        <f t="shared" si="15"/>
        <v>2999</v>
      </c>
      <c r="L381">
        <f>_xlfn.XLOOKUP(D381,product_cost!A:A,product_cost!B:B)</f>
        <v>1800</v>
      </c>
      <c r="M381">
        <f t="shared" si="16"/>
        <v>1199</v>
      </c>
      <c r="N381" s="10">
        <f t="shared" si="17"/>
        <v>0.39979993331110369</v>
      </c>
    </row>
    <row r="382" spans="1:14" x14ac:dyDescent="0.25">
      <c r="A382" t="s">
        <v>571</v>
      </c>
      <c r="B382" s="2">
        <v>45924</v>
      </c>
      <c r="C382" t="s">
        <v>52</v>
      </c>
      <c r="D382" t="s">
        <v>50</v>
      </c>
      <c r="E382" t="s">
        <v>24</v>
      </c>
      <c r="F382" t="s">
        <v>41</v>
      </c>
      <c r="G382">
        <v>1</v>
      </c>
      <c r="H382" s="3">
        <v>799</v>
      </c>
      <c r="I382" s="4">
        <v>0</v>
      </c>
      <c r="J382" t="s">
        <v>47</v>
      </c>
      <c r="K382">
        <f t="shared" si="15"/>
        <v>799</v>
      </c>
      <c r="L382">
        <f>_xlfn.XLOOKUP(D382,product_cost!A:A,product_cost!B:B)</f>
        <v>400</v>
      </c>
      <c r="M382">
        <f t="shared" si="16"/>
        <v>399</v>
      </c>
      <c r="N382" s="10">
        <f t="shared" si="17"/>
        <v>0.49937421777221525</v>
      </c>
    </row>
    <row r="383" spans="1:14" x14ac:dyDescent="0.25">
      <c r="A383" t="s">
        <v>572</v>
      </c>
      <c r="B383" s="2">
        <v>45910</v>
      </c>
      <c r="C383" t="s">
        <v>370</v>
      </c>
      <c r="D383" t="s">
        <v>18</v>
      </c>
      <c r="E383" t="s">
        <v>13</v>
      </c>
      <c r="F383" t="s">
        <v>41</v>
      </c>
      <c r="G383">
        <v>1</v>
      </c>
      <c r="H383" s="3">
        <v>2499</v>
      </c>
      <c r="I383" s="4">
        <v>0</v>
      </c>
      <c r="J383" t="s">
        <v>30</v>
      </c>
      <c r="K383">
        <f t="shared" si="15"/>
        <v>2499</v>
      </c>
      <c r="L383">
        <f>_xlfn.XLOOKUP(D383,product_cost!A:A,product_cost!B:B)</f>
        <v>1600</v>
      </c>
      <c r="M383">
        <f t="shared" si="16"/>
        <v>899</v>
      </c>
      <c r="N383" s="10">
        <f t="shared" si="17"/>
        <v>0.35974389755902358</v>
      </c>
    </row>
    <row r="384" spans="1:14" x14ac:dyDescent="0.25">
      <c r="A384" t="s">
        <v>573</v>
      </c>
      <c r="B384" s="2">
        <v>45697</v>
      </c>
      <c r="C384" t="s">
        <v>64</v>
      </c>
      <c r="D384" t="s">
        <v>28</v>
      </c>
      <c r="E384" t="s">
        <v>29</v>
      </c>
      <c r="F384" t="s">
        <v>25</v>
      </c>
      <c r="G384">
        <v>4</v>
      </c>
      <c r="H384" s="3">
        <v>599</v>
      </c>
      <c r="I384" s="4">
        <v>0.1</v>
      </c>
      <c r="J384" t="s">
        <v>42</v>
      </c>
      <c r="K384">
        <f t="shared" si="15"/>
        <v>2156.4</v>
      </c>
      <c r="L384">
        <f>_xlfn.XLOOKUP(D384,product_cost!A:A,product_cost!B:B)</f>
        <v>300</v>
      </c>
      <c r="M384">
        <f t="shared" si="16"/>
        <v>956.40000000000009</v>
      </c>
      <c r="N384" s="10">
        <f t="shared" si="17"/>
        <v>0.4435169727323317</v>
      </c>
    </row>
    <row r="385" spans="1:14" x14ac:dyDescent="0.25">
      <c r="A385" t="s">
        <v>574</v>
      </c>
      <c r="B385" s="2">
        <v>45973</v>
      </c>
      <c r="C385" t="s">
        <v>447</v>
      </c>
      <c r="D385" t="s">
        <v>104</v>
      </c>
      <c r="E385" t="s">
        <v>40</v>
      </c>
      <c r="F385" t="s">
        <v>25</v>
      </c>
      <c r="G385">
        <v>1</v>
      </c>
      <c r="H385" s="3">
        <v>999</v>
      </c>
      <c r="I385" s="4">
        <v>0</v>
      </c>
      <c r="J385" t="s">
        <v>47</v>
      </c>
      <c r="K385">
        <f t="shared" si="15"/>
        <v>999</v>
      </c>
      <c r="L385">
        <f>_xlfn.XLOOKUP(D385,product_cost!A:A,product_cost!B:B)</f>
        <v>550</v>
      </c>
      <c r="M385">
        <f t="shared" si="16"/>
        <v>449</v>
      </c>
      <c r="N385" s="10">
        <f t="shared" si="17"/>
        <v>0.44944944944944942</v>
      </c>
    </row>
    <row r="386" spans="1:14" x14ac:dyDescent="0.25">
      <c r="A386" t="s">
        <v>575</v>
      </c>
      <c r="B386" s="2">
        <v>45975</v>
      </c>
      <c r="C386" t="s">
        <v>46</v>
      </c>
      <c r="D386" t="s">
        <v>36</v>
      </c>
      <c r="E386" t="s">
        <v>29</v>
      </c>
      <c r="F386" t="s">
        <v>14</v>
      </c>
      <c r="G386">
        <v>1</v>
      </c>
      <c r="H386" s="3">
        <v>399</v>
      </c>
      <c r="I386" s="4">
        <v>0.05</v>
      </c>
      <c r="J386" t="s">
        <v>47</v>
      </c>
      <c r="K386">
        <f t="shared" ref="K386:K449" si="18">G386*H386*(1-I386)</f>
        <v>379.04999999999995</v>
      </c>
      <c r="L386">
        <f>_xlfn.XLOOKUP(D386,product_cost!A:A,product_cost!B:B)</f>
        <v>180</v>
      </c>
      <c r="M386">
        <f t="shared" ref="M386:M449" si="19">K386-(G386*L386)</f>
        <v>199.04999999999995</v>
      </c>
      <c r="N386" s="10">
        <f t="shared" ref="N386:N449" si="20">M386/K386</f>
        <v>0.52512861100118713</v>
      </c>
    </row>
    <row r="387" spans="1:14" x14ac:dyDescent="0.25">
      <c r="A387" t="s">
        <v>576</v>
      </c>
      <c r="B387" s="2">
        <v>45822</v>
      </c>
      <c r="C387" t="s">
        <v>188</v>
      </c>
      <c r="D387" t="s">
        <v>62</v>
      </c>
      <c r="E387" t="s">
        <v>24</v>
      </c>
      <c r="F387" t="s">
        <v>25</v>
      </c>
      <c r="G387">
        <v>1</v>
      </c>
      <c r="H387" s="3">
        <v>1499</v>
      </c>
      <c r="I387" s="4">
        <v>0</v>
      </c>
      <c r="J387" t="s">
        <v>47</v>
      </c>
      <c r="K387">
        <f t="shared" si="18"/>
        <v>1499</v>
      </c>
      <c r="L387">
        <f>_xlfn.XLOOKUP(D387,product_cost!A:A,product_cost!B:B)</f>
        <v>800</v>
      </c>
      <c r="M387">
        <f t="shared" si="19"/>
        <v>699</v>
      </c>
      <c r="N387" s="10">
        <f t="shared" si="20"/>
        <v>0.46631087391594395</v>
      </c>
    </row>
    <row r="388" spans="1:14" x14ac:dyDescent="0.25">
      <c r="A388" t="s">
        <v>577</v>
      </c>
      <c r="B388" s="2">
        <v>45807</v>
      </c>
      <c r="C388" t="s">
        <v>289</v>
      </c>
      <c r="D388" t="s">
        <v>50</v>
      </c>
      <c r="E388" t="s">
        <v>24</v>
      </c>
      <c r="F388" t="s">
        <v>14</v>
      </c>
      <c r="G388">
        <v>2</v>
      </c>
      <c r="H388" s="3">
        <v>799</v>
      </c>
      <c r="I388" s="4">
        <v>0.05</v>
      </c>
      <c r="J388" t="s">
        <v>47</v>
      </c>
      <c r="K388">
        <f t="shared" si="18"/>
        <v>1518.1</v>
      </c>
      <c r="L388">
        <f>_xlfn.XLOOKUP(D388,product_cost!A:A,product_cost!B:B)</f>
        <v>400</v>
      </c>
      <c r="M388">
        <f t="shared" si="19"/>
        <v>718.09999999999991</v>
      </c>
      <c r="N388" s="10">
        <f t="shared" si="20"/>
        <v>0.47302549239180552</v>
      </c>
    </row>
    <row r="389" spans="1:14" x14ac:dyDescent="0.25">
      <c r="A389" t="s">
        <v>578</v>
      </c>
      <c r="B389" s="2">
        <v>45850</v>
      </c>
      <c r="C389" t="s">
        <v>32</v>
      </c>
      <c r="D389" t="s">
        <v>39</v>
      </c>
      <c r="E389" t="s">
        <v>40</v>
      </c>
      <c r="F389" t="s">
        <v>14</v>
      </c>
      <c r="G389">
        <v>1</v>
      </c>
      <c r="H389" s="3">
        <v>2999</v>
      </c>
      <c r="I389" s="4">
        <v>0.15</v>
      </c>
      <c r="J389" t="s">
        <v>42</v>
      </c>
      <c r="K389">
        <f t="shared" si="18"/>
        <v>2549.15</v>
      </c>
      <c r="L389">
        <f>_xlfn.XLOOKUP(D389,product_cost!A:A,product_cost!B:B)</f>
        <v>1800</v>
      </c>
      <c r="M389">
        <f t="shared" si="19"/>
        <v>749.15000000000009</v>
      </c>
      <c r="N389" s="10">
        <f t="shared" si="20"/>
        <v>0.29388227448365145</v>
      </c>
    </row>
    <row r="390" spans="1:14" x14ac:dyDescent="0.25">
      <c r="A390" t="s">
        <v>579</v>
      </c>
      <c r="B390" s="2">
        <v>45937</v>
      </c>
      <c r="C390" t="s">
        <v>418</v>
      </c>
      <c r="D390" t="s">
        <v>50</v>
      </c>
      <c r="E390" t="s">
        <v>24</v>
      </c>
      <c r="F390" t="s">
        <v>25</v>
      </c>
      <c r="G390">
        <v>3</v>
      </c>
      <c r="H390" s="3">
        <v>799</v>
      </c>
      <c r="I390" s="4">
        <v>0</v>
      </c>
      <c r="J390" t="s">
        <v>20</v>
      </c>
      <c r="K390">
        <f t="shared" si="18"/>
        <v>2397</v>
      </c>
      <c r="L390">
        <f>_xlfn.XLOOKUP(D390,product_cost!A:A,product_cost!B:B)</f>
        <v>400</v>
      </c>
      <c r="M390">
        <f t="shared" si="19"/>
        <v>1197</v>
      </c>
      <c r="N390" s="10">
        <f t="shared" si="20"/>
        <v>0.49937421777221525</v>
      </c>
    </row>
    <row r="391" spans="1:14" x14ac:dyDescent="0.25">
      <c r="A391" t="s">
        <v>580</v>
      </c>
      <c r="B391" s="2">
        <v>45882</v>
      </c>
      <c r="C391" t="s">
        <v>361</v>
      </c>
      <c r="D391" t="s">
        <v>62</v>
      </c>
      <c r="E391" t="s">
        <v>24</v>
      </c>
      <c r="F391" t="s">
        <v>25</v>
      </c>
      <c r="G391">
        <v>1</v>
      </c>
      <c r="H391" s="3">
        <v>1499</v>
      </c>
      <c r="I391" s="4">
        <v>0.15</v>
      </c>
      <c r="J391" t="s">
        <v>30</v>
      </c>
      <c r="K391">
        <f t="shared" si="18"/>
        <v>1274.1499999999999</v>
      </c>
      <c r="L391">
        <f>_xlfn.XLOOKUP(D391,product_cost!A:A,product_cost!B:B)</f>
        <v>800</v>
      </c>
      <c r="M391">
        <f t="shared" si="19"/>
        <v>474.14999999999986</v>
      </c>
      <c r="N391" s="10">
        <f t="shared" si="20"/>
        <v>0.3721304399011105</v>
      </c>
    </row>
    <row r="392" spans="1:14" x14ac:dyDescent="0.25">
      <c r="A392" t="s">
        <v>581</v>
      </c>
      <c r="B392" s="2">
        <v>45729</v>
      </c>
      <c r="C392" t="s">
        <v>373</v>
      </c>
      <c r="D392" t="s">
        <v>28</v>
      </c>
      <c r="E392" t="s">
        <v>29</v>
      </c>
      <c r="F392" t="s">
        <v>25</v>
      </c>
      <c r="G392">
        <v>1</v>
      </c>
      <c r="H392" s="3">
        <v>599</v>
      </c>
      <c r="I392" s="4">
        <v>0.1</v>
      </c>
      <c r="J392" t="s">
        <v>30</v>
      </c>
      <c r="K392">
        <f t="shared" si="18"/>
        <v>539.1</v>
      </c>
      <c r="L392">
        <f>_xlfn.XLOOKUP(D392,product_cost!A:A,product_cost!B:B)</f>
        <v>300</v>
      </c>
      <c r="M392">
        <f t="shared" si="19"/>
        <v>239.10000000000002</v>
      </c>
      <c r="N392" s="10">
        <f t="shared" si="20"/>
        <v>0.4435169727323317</v>
      </c>
    </row>
    <row r="393" spans="1:14" x14ac:dyDescent="0.25">
      <c r="A393" t="s">
        <v>582</v>
      </c>
      <c r="B393" s="2">
        <v>45695</v>
      </c>
      <c r="C393" t="s">
        <v>395</v>
      </c>
      <c r="D393" t="s">
        <v>23</v>
      </c>
      <c r="E393" t="s">
        <v>24</v>
      </c>
      <c r="F393" t="s">
        <v>25</v>
      </c>
      <c r="G393">
        <v>2</v>
      </c>
      <c r="H393" s="3">
        <v>3999</v>
      </c>
      <c r="I393" s="4">
        <v>0.05</v>
      </c>
      <c r="J393" t="s">
        <v>42</v>
      </c>
      <c r="K393">
        <f t="shared" si="18"/>
        <v>7598.0999999999995</v>
      </c>
      <c r="L393">
        <f>_xlfn.XLOOKUP(D393,product_cost!A:A,product_cost!B:B)</f>
        <v>2600</v>
      </c>
      <c r="M393">
        <f t="shared" si="19"/>
        <v>2398.0999999999995</v>
      </c>
      <c r="N393" s="10">
        <f t="shared" si="20"/>
        <v>0.3156183782787802</v>
      </c>
    </row>
    <row r="394" spans="1:14" x14ac:dyDescent="0.25">
      <c r="A394" t="s">
        <v>583</v>
      </c>
      <c r="B394" s="2">
        <v>45676</v>
      </c>
      <c r="C394" t="s">
        <v>64</v>
      </c>
      <c r="D394" t="s">
        <v>62</v>
      </c>
      <c r="E394" t="s">
        <v>24</v>
      </c>
      <c r="F394" t="s">
        <v>19</v>
      </c>
      <c r="G394">
        <v>3</v>
      </c>
      <c r="H394" s="3">
        <v>1499</v>
      </c>
      <c r="I394" s="4">
        <v>0.05</v>
      </c>
      <c r="J394" t="s">
        <v>15</v>
      </c>
      <c r="K394">
        <f t="shared" si="18"/>
        <v>4272.1499999999996</v>
      </c>
      <c r="L394">
        <f>_xlfn.XLOOKUP(D394,product_cost!A:A,product_cost!B:B)</f>
        <v>800</v>
      </c>
      <c r="M394">
        <f t="shared" si="19"/>
        <v>1872.1499999999996</v>
      </c>
      <c r="N394" s="10">
        <f t="shared" si="20"/>
        <v>0.43822197254309886</v>
      </c>
    </row>
    <row r="395" spans="1:14" x14ac:dyDescent="0.25">
      <c r="A395" t="s">
        <v>584</v>
      </c>
      <c r="B395" s="2">
        <v>45785</v>
      </c>
      <c r="C395" t="s">
        <v>150</v>
      </c>
      <c r="D395" t="s">
        <v>50</v>
      </c>
      <c r="E395" t="s">
        <v>24</v>
      </c>
      <c r="F395" t="s">
        <v>19</v>
      </c>
      <c r="G395">
        <v>1</v>
      </c>
      <c r="H395" s="3">
        <v>799</v>
      </c>
      <c r="I395" s="4">
        <v>0.1</v>
      </c>
      <c r="J395" t="s">
        <v>42</v>
      </c>
      <c r="K395">
        <f t="shared" si="18"/>
        <v>719.1</v>
      </c>
      <c r="L395">
        <f>_xlfn.XLOOKUP(D395,product_cost!A:A,product_cost!B:B)</f>
        <v>400</v>
      </c>
      <c r="M395">
        <f t="shared" si="19"/>
        <v>319.10000000000002</v>
      </c>
      <c r="N395" s="10">
        <f t="shared" si="20"/>
        <v>0.44374913085801698</v>
      </c>
    </row>
    <row r="396" spans="1:14" x14ac:dyDescent="0.25">
      <c r="A396" t="s">
        <v>585</v>
      </c>
      <c r="B396" s="2">
        <v>45988</v>
      </c>
      <c r="C396" t="s">
        <v>302</v>
      </c>
      <c r="D396" t="s">
        <v>50</v>
      </c>
      <c r="E396" t="s">
        <v>24</v>
      </c>
      <c r="F396" t="s">
        <v>25</v>
      </c>
      <c r="G396">
        <v>1</v>
      </c>
      <c r="H396" s="3">
        <v>799</v>
      </c>
      <c r="I396" s="4">
        <v>0.1</v>
      </c>
      <c r="J396" t="s">
        <v>15</v>
      </c>
      <c r="K396">
        <f t="shared" si="18"/>
        <v>719.1</v>
      </c>
      <c r="L396">
        <f>_xlfn.XLOOKUP(D396,product_cost!A:A,product_cost!B:B)</f>
        <v>400</v>
      </c>
      <c r="M396">
        <f t="shared" si="19"/>
        <v>319.10000000000002</v>
      </c>
      <c r="N396" s="10">
        <f t="shared" si="20"/>
        <v>0.44374913085801698</v>
      </c>
    </row>
    <row r="397" spans="1:14" x14ac:dyDescent="0.25">
      <c r="A397" t="s">
        <v>586</v>
      </c>
      <c r="B397" s="2">
        <v>45663</v>
      </c>
      <c r="C397" t="s">
        <v>587</v>
      </c>
      <c r="D397" t="s">
        <v>28</v>
      </c>
      <c r="E397" t="s">
        <v>29</v>
      </c>
      <c r="F397" t="s">
        <v>14</v>
      </c>
      <c r="G397">
        <v>1</v>
      </c>
      <c r="H397" s="3">
        <v>599</v>
      </c>
      <c r="I397" s="4">
        <v>0.1</v>
      </c>
      <c r="J397" t="s">
        <v>30</v>
      </c>
      <c r="K397">
        <f t="shared" si="18"/>
        <v>539.1</v>
      </c>
      <c r="L397">
        <f>_xlfn.XLOOKUP(D397,product_cost!A:A,product_cost!B:B)</f>
        <v>300</v>
      </c>
      <c r="M397">
        <f t="shared" si="19"/>
        <v>239.10000000000002</v>
      </c>
      <c r="N397" s="10">
        <f t="shared" si="20"/>
        <v>0.4435169727323317</v>
      </c>
    </row>
    <row r="398" spans="1:14" x14ac:dyDescent="0.25">
      <c r="A398" t="s">
        <v>588</v>
      </c>
      <c r="B398" s="2">
        <v>45849</v>
      </c>
      <c r="C398" t="s">
        <v>589</v>
      </c>
      <c r="D398" t="s">
        <v>104</v>
      </c>
      <c r="E398" t="s">
        <v>40</v>
      </c>
      <c r="F398" t="s">
        <v>14</v>
      </c>
      <c r="G398">
        <v>3</v>
      </c>
      <c r="H398" s="3">
        <v>999</v>
      </c>
      <c r="I398" s="4">
        <v>0.05</v>
      </c>
      <c r="J398" t="s">
        <v>47</v>
      </c>
      <c r="K398">
        <f t="shared" si="18"/>
        <v>2847.15</v>
      </c>
      <c r="L398">
        <f>_xlfn.XLOOKUP(D398,product_cost!A:A,product_cost!B:B)</f>
        <v>550</v>
      </c>
      <c r="M398">
        <f t="shared" si="19"/>
        <v>1197.1500000000001</v>
      </c>
      <c r="N398" s="10">
        <f t="shared" si="20"/>
        <v>0.42047310468363103</v>
      </c>
    </row>
    <row r="399" spans="1:14" x14ac:dyDescent="0.25">
      <c r="A399" t="s">
        <v>590</v>
      </c>
      <c r="B399" s="2">
        <v>45670</v>
      </c>
      <c r="C399" t="s">
        <v>229</v>
      </c>
      <c r="D399" t="s">
        <v>18</v>
      </c>
      <c r="E399" t="s">
        <v>13</v>
      </c>
      <c r="F399" t="s">
        <v>19</v>
      </c>
      <c r="G399">
        <v>1</v>
      </c>
      <c r="H399" s="3">
        <v>2499</v>
      </c>
      <c r="I399" s="4">
        <v>0.15</v>
      </c>
      <c r="J399" t="s">
        <v>15</v>
      </c>
      <c r="K399">
        <f t="shared" si="18"/>
        <v>2124.15</v>
      </c>
      <c r="L399">
        <f>_xlfn.XLOOKUP(D399,product_cost!A:A,product_cost!B:B)</f>
        <v>1600</v>
      </c>
      <c r="M399">
        <f t="shared" si="19"/>
        <v>524.15000000000009</v>
      </c>
      <c r="N399" s="10">
        <f t="shared" si="20"/>
        <v>0.24675752654002781</v>
      </c>
    </row>
    <row r="400" spans="1:14" x14ac:dyDescent="0.25">
      <c r="A400" t="s">
        <v>591</v>
      </c>
      <c r="B400" s="2">
        <v>45730</v>
      </c>
      <c r="C400" t="s">
        <v>347</v>
      </c>
      <c r="D400" t="s">
        <v>28</v>
      </c>
      <c r="E400" t="s">
        <v>29</v>
      </c>
      <c r="F400" t="s">
        <v>25</v>
      </c>
      <c r="G400">
        <v>1</v>
      </c>
      <c r="H400" s="3">
        <v>599</v>
      </c>
      <c r="I400" s="4">
        <v>0.1</v>
      </c>
      <c r="J400" t="s">
        <v>47</v>
      </c>
      <c r="K400">
        <f t="shared" si="18"/>
        <v>539.1</v>
      </c>
      <c r="L400">
        <f>_xlfn.XLOOKUP(D400,product_cost!A:A,product_cost!B:B)</f>
        <v>300</v>
      </c>
      <c r="M400">
        <f t="shared" si="19"/>
        <v>239.10000000000002</v>
      </c>
      <c r="N400" s="10">
        <f t="shared" si="20"/>
        <v>0.4435169727323317</v>
      </c>
    </row>
    <row r="401" spans="1:14" x14ac:dyDescent="0.25">
      <c r="A401" t="s">
        <v>592</v>
      </c>
      <c r="B401" s="2">
        <v>45901</v>
      </c>
      <c r="C401" t="s">
        <v>35</v>
      </c>
      <c r="D401" t="s">
        <v>104</v>
      </c>
      <c r="E401" t="s">
        <v>40</v>
      </c>
      <c r="F401" t="s">
        <v>19</v>
      </c>
      <c r="G401">
        <v>2</v>
      </c>
      <c r="H401" s="3">
        <v>999</v>
      </c>
      <c r="I401" s="4">
        <v>0.05</v>
      </c>
      <c r="J401" t="s">
        <v>47</v>
      </c>
      <c r="K401">
        <f t="shared" si="18"/>
        <v>1898.1</v>
      </c>
      <c r="L401">
        <f>_xlfn.XLOOKUP(D401,product_cost!A:A,product_cost!B:B)</f>
        <v>550</v>
      </c>
      <c r="M401">
        <f t="shared" si="19"/>
        <v>798.09999999999991</v>
      </c>
      <c r="N401" s="10">
        <f t="shared" si="20"/>
        <v>0.42047310468363097</v>
      </c>
    </row>
    <row r="402" spans="1:14" x14ac:dyDescent="0.25">
      <c r="A402" t="s">
        <v>593</v>
      </c>
      <c r="B402" s="2">
        <v>45680</v>
      </c>
      <c r="C402" t="s">
        <v>129</v>
      </c>
      <c r="D402" t="s">
        <v>12</v>
      </c>
      <c r="E402" t="s">
        <v>13</v>
      </c>
      <c r="F402" t="s">
        <v>14</v>
      </c>
      <c r="G402">
        <v>3</v>
      </c>
      <c r="H402" s="3">
        <v>1999</v>
      </c>
      <c r="I402" s="4">
        <v>0.1</v>
      </c>
      <c r="J402" t="s">
        <v>20</v>
      </c>
      <c r="K402">
        <f t="shared" si="18"/>
        <v>5397.3</v>
      </c>
      <c r="L402">
        <f>_xlfn.XLOOKUP(D402,product_cost!A:A,product_cost!B:B)</f>
        <v>1200</v>
      </c>
      <c r="M402">
        <f t="shared" si="19"/>
        <v>1797.3000000000002</v>
      </c>
      <c r="N402" s="10">
        <f t="shared" si="20"/>
        <v>0.33299983324995835</v>
      </c>
    </row>
    <row r="403" spans="1:14" x14ac:dyDescent="0.25">
      <c r="A403" t="s">
        <v>594</v>
      </c>
      <c r="B403" s="2">
        <v>45922</v>
      </c>
      <c r="C403" t="s">
        <v>491</v>
      </c>
      <c r="D403" t="s">
        <v>53</v>
      </c>
      <c r="E403" t="s">
        <v>40</v>
      </c>
      <c r="F403" t="s">
        <v>25</v>
      </c>
      <c r="G403">
        <v>1</v>
      </c>
      <c r="H403" s="3">
        <v>1799</v>
      </c>
      <c r="I403" s="4">
        <v>0.05</v>
      </c>
      <c r="J403" t="s">
        <v>20</v>
      </c>
      <c r="K403">
        <f t="shared" si="18"/>
        <v>1709.05</v>
      </c>
      <c r="L403">
        <f>_xlfn.XLOOKUP(D403,product_cost!A:A,product_cost!B:B)</f>
        <v>1000</v>
      </c>
      <c r="M403">
        <f t="shared" si="19"/>
        <v>709.05</v>
      </c>
      <c r="N403" s="10">
        <f t="shared" si="20"/>
        <v>0.41487961148006203</v>
      </c>
    </row>
    <row r="404" spans="1:14" x14ac:dyDescent="0.25">
      <c r="A404" t="s">
        <v>595</v>
      </c>
      <c r="B404" s="2">
        <v>45865</v>
      </c>
      <c r="C404" t="s">
        <v>596</v>
      </c>
      <c r="D404" t="s">
        <v>33</v>
      </c>
      <c r="E404" t="s">
        <v>13</v>
      </c>
      <c r="F404" t="s">
        <v>25</v>
      </c>
      <c r="G404">
        <v>1</v>
      </c>
      <c r="H404" s="3">
        <v>3499</v>
      </c>
      <c r="I404" s="4">
        <v>0.1</v>
      </c>
      <c r="J404" t="s">
        <v>15</v>
      </c>
      <c r="K404">
        <f t="shared" si="18"/>
        <v>3149.1</v>
      </c>
      <c r="L404">
        <f>_xlfn.XLOOKUP(D404,product_cost!A:A,product_cost!B:B)</f>
        <v>2300</v>
      </c>
      <c r="M404">
        <f t="shared" si="19"/>
        <v>849.09999999999991</v>
      </c>
      <c r="N404" s="10">
        <f t="shared" si="20"/>
        <v>0.26963259343939538</v>
      </c>
    </row>
    <row r="405" spans="1:14" x14ac:dyDescent="0.25">
      <c r="A405" t="s">
        <v>597</v>
      </c>
      <c r="B405" s="2">
        <v>45972</v>
      </c>
      <c r="C405" t="s">
        <v>447</v>
      </c>
      <c r="D405" t="s">
        <v>104</v>
      </c>
      <c r="E405" t="s">
        <v>40</v>
      </c>
      <c r="F405" t="s">
        <v>14</v>
      </c>
      <c r="G405">
        <v>2</v>
      </c>
      <c r="H405" s="3">
        <v>999</v>
      </c>
      <c r="I405" s="4">
        <v>0.05</v>
      </c>
      <c r="J405" t="s">
        <v>20</v>
      </c>
      <c r="K405">
        <f t="shared" si="18"/>
        <v>1898.1</v>
      </c>
      <c r="L405">
        <f>_xlfn.XLOOKUP(D405,product_cost!A:A,product_cost!B:B)</f>
        <v>550</v>
      </c>
      <c r="M405">
        <f t="shared" si="19"/>
        <v>798.09999999999991</v>
      </c>
      <c r="N405" s="10">
        <f t="shared" si="20"/>
        <v>0.42047310468363097</v>
      </c>
    </row>
    <row r="406" spans="1:14" x14ac:dyDescent="0.25">
      <c r="A406" t="s">
        <v>598</v>
      </c>
      <c r="B406" s="2">
        <v>45800</v>
      </c>
      <c r="C406" t="s">
        <v>599</v>
      </c>
      <c r="D406" t="s">
        <v>23</v>
      </c>
      <c r="E406" t="s">
        <v>24</v>
      </c>
      <c r="F406" t="s">
        <v>14</v>
      </c>
      <c r="G406">
        <v>1</v>
      </c>
      <c r="H406" s="3">
        <v>3999</v>
      </c>
      <c r="I406" s="4">
        <v>0.15</v>
      </c>
      <c r="J406" t="s">
        <v>47</v>
      </c>
      <c r="K406">
        <f t="shared" si="18"/>
        <v>3399.15</v>
      </c>
      <c r="L406">
        <f>_xlfn.XLOOKUP(D406,product_cost!A:A,product_cost!B:B)</f>
        <v>2600</v>
      </c>
      <c r="M406">
        <f t="shared" si="19"/>
        <v>799.15000000000009</v>
      </c>
      <c r="N406" s="10">
        <f t="shared" si="20"/>
        <v>0.23510289337040144</v>
      </c>
    </row>
    <row r="407" spans="1:14" x14ac:dyDescent="0.25">
      <c r="A407" t="s">
        <v>600</v>
      </c>
      <c r="B407" s="2">
        <v>45824</v>
      </c>
      <c r="C407" t="s">
        <v>447</v>
      </c>
      <c r="D407" t="s">
        <v>104</v>
      </c>
      <c r="E407" t="s">
        <v>40</v>
      </c>
      <c r="F407" t="s">
        <v>25</v>
      </c>
      <c r="G407">
        <v>1</v>
      </c>
      <c r="H407" s="3">
        <v>999</v>
      </c>
      <c r="I407" s="4">
        <v>0.1</v>
      </c>
      <c r="J407" t="s">
        <v>42</v>
      </c>
      <c r="K407">
        <f t="shared" si="18"/>
        <v>899.1</v>
      </c>
      <c r="L407">
        <f>_xlfn.XLOOKUP(D407,product_cost!A:A,product_cost!B:B)</f>
        <v>550</v>
      </c>
      <c r="M407">
        <f t="shared" si="19"/>
        <v>349.1</v>
      </c>
      <c r="N407" s="10">
        <f t="shared" si="20"/>
        <v>0.38827716605494383</v>
      </c>
    </row>
    <row r="408" spans="1:14" x14ac:dyDescent="0.25">
      <c r="A408" t="s">
        <v>601</v>
      </c>
      <c r="B408" s="2">
        <v>45985</v>
      </c>
      <c r="C408" t="s">
        <v>57</v>
      </c>
      <c r="D408" t="s">
        <v>23</v>
      </c>
      <c r="E408" t="s">
        <v>24</v>
      </c>
      <c r="F408" t="s">
        <v>19</v>
      </c>
      <c r="G408">
        <v>1</v>
      </c>
      <c r="H408" s="3">
        <v>3999</v>
      </c>
      <c r="I408" s="4">
        <v>0.05</v>
      </c>
      <c r="J408" t="s">
        <v>47</v>
      </c>
      <c r="K408">
        <f t="shared" si="18"/>
        <v>3799.0499999999997</v>
      </c>
      <c r="L408">
        <f>_xlfn.XLOOKUP(D408,product_cost!A:A,product_cost!B:B)</f>
        <v>2600</v>
      </c>
      <c r="M408">
        <f t="shared" si="19"/>
        <v>1199.0499999999997</v>
      </c>
      <c r="N408" s="10">
        <f t="shared" si="20"/>
        <v>0.3156183782787802</v>
      </c>
    </row>
    <row r="409" spans="1:14" x14ac:dyDescent="0.25">
      <c r="A409" t="s">
        <v>602</v>
      </c>
      <c r="B409" s="2">
        <v>45838</v>
      </c>
      <c r="C409" t="s">
        <v>148</v>
      </c>
      <c r="D409" t="s">
        <v>23</v>
      </c>
      <c r="E409" t="s">
        <v>24</v>
      </c>
      <c r="F409" t="s">
        <v>41</v>
      </c>
      <c r="G409">
        <v>1</v>
      </c>
      <c r="H409" s="3">
        <v>3999</v>
      </c>
      <c r="I409" s="4">
        <v>0.1</v>
      </c>
      <c r="J409" t="s">
        <v>42</v>
      </c>
      <c r="K409">
        <f t="shared" si="18"/>
        <v>3599.1</v>
      </c>
      <c r="L409">
        <f>_xlfn.XLOOKUP(D409,product_cost!A:A,product_cost!B:B)</f>
        <v>2600</v>
      </c>
      <c r="M409">
        <f t="shared" si="19"/>
        <v>999.09999999999991</v>
      </c>
      <c r="N409" s="10">
        <f t="shared" si="20"/>
        <v>0.27759717707204579</v>
      </c>
    </row>
    <row r="410" spans="1:14" x14ac:dyDescent="0.25">
      <c r="A410" t="s">
        <v>603</v>
      </c>
      <c r="B410" s="2">
        <v>45960</v>
      </c>
      <c r="C410" t="s">
        <v>341</v>
      </c>
      <c r="D410" t="s">
        <v>50</v>
      </c>
      <c r="E410" t="s">
        <v>24</v>
      </c>
      <c r="F410" t="s">
        <v>41</v>
      </c>
      <c r="G410">
        <v>1</v>
      </c>
      <c r="H410" s="3">
        <v>799</v>
      </c>
      <c r="I410" s="4">
        <v>0</v>
      </c>
      <c r="J410" t="s">
        <v>15</v>
      </c>
      <c r="K410">
        <f t="shared" si="18"/>
        <v>799</v>
      </c>
      <c r="L410">
        <f>_xlfn.XLOOKUP(D410,product_cost!A:A,product_cost!B:B)</f>
        <v>400</v>
      </c>
      <c r="M410">
        <f t="shared" si="19"/>
        <v>399</v>
      </c>
      <c r="N410" s="10">
        <f t="shared" si="20"/>
        <v>0.49937421777221525</v>
      </c>
    </row>
    <row r="411" spans="1:14" x14ac:dyDescent="0.25">
      <c r="A411" t="s">
        <v>604</v>
      </c>
      <c r="B411" s="2">
        <v>45751</v>
      </c>
      <c r="C411" t="s">
        <v>291</v>
      </c>
      <c r="D411" t="s">
        <v>62</v>
      </c>
      <c r="E411" t="s">
        <v>24</v>
      </c>
      <c r="F411" t="s">
        <v>14</v>
      </c>
      <c r="G411">
        <v>1</v>
      </c>
      <c r="H411" s="3">
        <v>1499</v>
      </c>
      <c r="I411" s="4">
        <v>0.05</v>
      </c>
      <c r="J411" t="s">
        <v>42</v>
      </c>
      <c r="K411">
        <f t="shared" si="18"/>
        <v>1424.05</v>
      </c>
      <c r="L411">
        <f>_xlfn.XLOOKUP(D411,product_cost!A:A,product_cost!B:B)</f>
        <v>800</v>
      </c>
      <c r="M411">
        <f t="shared" si="19"/>
        <v>624.04999999999995</v>
      </c>
      <c r="N411" s="10">
        <f t="shared" si="20"/>
        <v>0.43822197254309891</v>
      </c>
    </row>
    <row r="412" spans="1:14" x14ac:dyDescent="0.25">
      <c r="A412" t="s">
        <v>605</v>
      </c>
      <c r="B412" s="2">
        <v>45854</v>
      </c>
      <c r="C412" t="s">
        <v>606</v>
      </c>
      <c r="D412" t="s">
        <v>33</v>
      </c>
      <c r="E412" t="s">
        <v>13</v>
      </c>
      <c r="F412" t="s">
        <v>14</v>
      </c>
      <c r="G412">
        <v>2</v>
      </c>
      <c r="H412" s="3">
        <v>3499</v>
      </c>
      <c r="I412" s="4">
        <v>0.05</v>
      </c>
      <c r="J412" t="s">
        <v>42</v>
      </c>
      <c r="K412">
        <f t="shared" si="18"/>
        <v>6648.0999999999995</v>
      </c>
      <c r="L412">
        <f>_xlfn.XLOOKUP(D412,product_cost!A:A,product_cost!B:B)</f>
        <v>2300</v>
      </c>
      <c r="M412">
        <f t="shared" si="19"/>
        <v>2048.0999999999995</v>
      </c>
      <c r="N412" s="10">
        <f t="shared" si="20"/>
        <v>0.30807298325837451</v>
      </c>
    </row>
    <row r="413" spans="1:14" x14ac:dyDescent="0.25">
      <c r="A413" t="s">
        <v>607</v>
      </c>
      <c r="B413" s="2">
        <v>45743</v>
      </c>
      <c r="C413" t="s">
        <v>77</v>
      </c>
      <c r="D413" t="s">
        <v>28</v>
      </c>
      <c r="E413" t="s">
        <v>29</v>
      </c>
      <c r="F413" t="s">
        <v>25</v>
      </c>
      <c r="G413">
        <v>1</v>
      </c>
      <c r="H413" s="3">
        <v>599</v>
      </c>
      <c r="I413" s="4">
        <v>0</v>
      </c>
      <c r="J413" t="s">
        <v>42</v>
      </c>
      <c r="K413">
        <f t="shared" si="18"/>
        <v>599</v>
      </c>
      <c r="L413">
        <f>_xlfn.XLOOKUP(D413,product_cost!A:A,product_cost!B:B)</f>
        <v>300</v>
      </c>
      <c r="M413">
        <f t="shared" si="19"/>
        <v>299</v>
      </c>
      <c r="N413" s="10">
        <f t="shared" si="20"/>
        <v>0.4991652754590985</v>
      </c>
    </row>
    <row r="414" spans="1:14" x14ac:dyDescent="0.25">
      <c r="A414" t="s">
        <v>608</v>
      </c>
      <c r="B414" s="2">
        <v>45685</v>
      </c>
      <c r="C414" t="s">
        <v>328</v>
      </c>
      <c r="D414" t="s">
        <v>12</v>
      </c>
      <c r="E414" t="s">
        <v>13</v>
      </c>
      <c r="F414" t="s">
        <v>25</v>
      </c>
      <c r="G414">
        <v>2</v>
      </c>
      <c r="H414" s="3">
        <v>1999</v>
      </c>
      <c r="I414" s="4">
        <v>0</v>
      </c>
      <c r="J414" t="s">
        <v>42</v>
      </c>
      <c r="K414">
        <f t="shared" si="18"/>
        <v>3998</v>
      </c>
      <c r="L414">
        <f>_xlfn.XLOOKUP(D414,product_cost!A:A,product_cost!B:B)</f>
        <v>1200</v>
      </c>
      <c r="M414">
        <f t="shared" si="19"/>
        <v>1598</v>
      </c>
      <c r="N414" s="10">
        <f t="shared" si="20"/>
        <v>0.39969984992496249</v>
      </c>
    </row>
    <row r="415" spans="1:14" x14ac:dyDescent="0.25">
      <c r="A415" t="s">
        <v>609</v>
      </c>
      <c r="B415" s="2">
        <v>45916</v>
      </c>
      <c r="C415" t="s">
        <v>96</v>
      </c>
      <c r="D415" t="s">
        <v>104</v>
      </c>
      <c r="E415" t="s">
        <v>40</v>
      </c>
      <c r="F415" t="s">
        <v>25</v>
      </c>
      <c r="G415">
        <v>1</v>
      </c>
      <c r="H415" s="3">
        <v>999</v>
      </c>
      <c r="I415" s="4">
        <v>0.05</v>
      </c>
      <c r="J415" t="s">
        <v>30</v>
      </c>
      <c r="K415">
        <f t="shared" si="18"/>
        <v>949.05</v>
      </c>
      <c r="L415">
        <f>_xlfn.XLOOKUP(D415,product_cost!A:A,product_cost!B:B)</f>
        <v>550</v>
      </c>
      <c r="M415">
        <f t="shared" si="19"/>
        <v>399.04999999999995</v>
      </c>
      <c r="N415" s="10">
        <f t="shared" si="20"/>
        <v>0.42047310468363097</v>
      </c>
    </row>
    <row r="416" spans="1:14" x14ac:dyDescent="0.25">
      <c r="A416" t="s">
        <v>610</v>
      </c>
      <c r="B416" s="2">
        <v>45743</v>
      </c>
      <c r="C416" t="s">
        <v>341</v>
      </c>
      <c r="D416" t="s">
        <v>23</v>
      </c>
      <c r="E416" t="s">
        <v>24</v>
      </c>
      <c r="F416" t="s">
        <v>41</v>
      </c>
      <c r="G416">
        <v>1</v>
      </c>
      <c r="H416" s="3">
        <v>3999</v>
      </c>
      <c r="I416" s="4">
        <v>0.1</v>
      </c>
      <c r="J416" t="s">
        <v>15</v>
      </c>
      <c r="K416">
        <f t="shared" si="18"/>
        <v>3599.1</v>
      </c>
      <c r="L416">
        <f>_xlfn.XLOOKUP(D416,product_cost!A:A,product_cost!B:B)</f>
        <v>2600</v>
      </c>
      <c r="M416">
        <f t="shared" si="19"/>
        <v>999.09999999999991</v>
      </c>
      <c r="N416" s="10">
        <f t="shared" si="20"/>
        <v>0.27759717707204579</v>
      </c>
    </row>
    <row r="417" spans="1:14" x14ac:dyDescent="0.25">
      <c r="A417" t="s">
        <v>611</v>
      </c>
      <c r="B417" s="2">
        <v>45798</v>
      </c>
      <c r="C417" t="s">
        <v>87</v>
      </c>
      <c r="D417" t="s">
        <v>53</v>
      </c>
      <c r="E417" t="s">
        <v>40</v>
      </c>
      <c r="F417" t="s">
        <v>25</v>
      </c>
      <c r="G417">
        <v>1</v>
      </c>
      <c r="H417" s="3">
        <v>1799</v>
      </c>
      <c r="I417" s="4">
        <v>0.1</v>
      </c>
      <c r="J417" t="s">
        <v>42</v>
      </c>
      <c r="K417">
        <f t="shared" si="18"/>
        <v>1619.1000000000001</v>
      </c>
      <c r="L417">
        <f>_xlfn.XLOOKUP(D417,product_cost!A:A,product_cost!B:B)</f>
        <v>1000</v>
      </c>
      <c r="M417">
        <f t="shared" si="19"/>
        <v>619.10000000000014</v>
      </c>
      <c r="N417" s="10">
        <f t="shared" si="20"/>
        <v>0.38237292322895439</v>
      </c>
    </row>
    <row r="418" spans="1:14" x14ac:dyDescent="0.25">
      <c r="A418" t="s">
        <v>612</v>
      </c>
      <c r="B418" s="2">
        <v>45919</v>
      </c>
      <c r="C418" t="s">
        <v>11</v>
      </c>
      <c r="D418" t="s">
        <v>23</v>
      </c>
      <c r="E418" t="s">
        <v>24</v>
      </c>
      <c r="F418" t="s">
        <v>41</v>
      </c>
      <c r="G418">
        <v>1</v>
      </c>
      <c r="H418" s="3">
        <v>3999</v>
      </c>
      <c r="I418" s="4">
        <v>0.1</v>
      </c>
      <c r="J418" t="s">
        <v>42</v>
      </c>
      <c r="K418">
        <f t="shared" si="18"/>
        <v>3599.1</v>
      </c>
      <c r="L418">
        <f>_xlfn.XLOOKUP(D418,product_cost!A:A,product_cost!B:B)</f>
        <v>2600</v>
      </c>
      <c r="M418">
        <f t="shared" si="19"/>
        <v>999.09999999999991</v>
      </c>
      <c r="N418" s="10">
        <f t="shared" si="20"/>
        <v>0.27759717707204579</v>
      </c>
    </row>
    <row r="419" spans="1:14" x14ac:dyDescent="0.25">
      <c r="A419" t="s">
        <v>613</v>
      </c>
      <c r="B419" s="2">
        <v>45679</v>
      </c>
      <c r="C419" t="s">
        <v>179</v>
      </c>
      <c r="D419" t="s">
        <v>53</v>
      </c>
      <c r="E419" t="s">
        <v>40</v>
      </c>
      <c r="F419" t="s">
        <v>14</v>
      </c>
      <c r="G419">
        <v>1</v>
      </c>
      <c r="H419" s="3">
        <v>1799</v>
      </c>
      <c r="I419" s="4">
        <v>0.05</v>
      </c>
      <c r="J419" t="s">
        <v>47</v>
      </c>
      <c r="K419">
        <f t="shared" si="18"/>
        <v>1709.05</v>
      </c>
      <c r="L419">
        <f>_xlfn.XLOOKUP(D419,product_cost!A:A,product_cost!B:B)</f>
        <v>1000</v>
      </c>
      <c r="M419">
        <f t="shared" si="19"/>
        <v>709.05</v>
      </c>
      <c r="N419" s="10">
        <f t="shared" si="20"/>
        <v>0.41487961148006203</v>
      </c>
    </row>
    <row r="420" spans="1:14" x14ac:dyDescent="0.25">
      <c r="A420" t="s">
        <v>614</v>
      </c>
      <c r="B420" s="2">
        <v>45674</v>
      </c>
      <c r="C420" t="s">
        <v>241</v>
      </c>
      <c r="D420" t="s">
        <v>28</v>
      </c>
      <c r="E420" t="s">
        <v>29</v>
      </c>
      <c r="F420" t="s">
        <v>25</v>
      </c>
      <c r="G420">
        <v>1</v>
      </c>
      <c r="H420" s="3">
        <v>599</v>
      </c>
      <c r="I420" s="4">
        <v>0.15</v>
      </c>
      <c r="J420" t="s">
        <v>15</v>
      </c>
      <c r="K420">
        <f t="shared" si="18"/>
        <v>509.15</v>
      </c>
      <c r="L420">
        <f>_xlfn.XLOOKUP(D420,product_cost!A:A,product_cost!B:B)</f>
        <v>300</v>
      </c>
      <c r="M420">
        <f t="shared" si="19"/>
        <v>209.14999999999998</v>
      </c>
      <c r="N420" s="10">
        <f t="shared" si="20"/>
        <v>0.41078267701070409</v>
      </c>
    </row>
    <row r="421" spans="1:14" x14ac:dyDescent="0.25">
      <c r="A421" t="s">
        <v>615</v>
      </c>
      <c r="B421" s="2">
        <v>45779</v>
      </c>
      <c r="C421" t="s">
        <v>49</v>
      </c>
      <c r="D421" t="s">
        <v>62</v>
      </c>
      <c r="E421" t="s">
        <v>24</v>
      </c>
      <c r="F421" t="s">
        <v>25</v>
      </c>
      <c r="G421">
        <v>2</v>
      </c>
      <c r="H421" s="3">
        <v>1499</v>
      </c>
      <c r="I421" s="4">
        <v>0.05</v>
      </c>
      <c r="J421" t="s">
        <v>20</v>
      </c>
      <c r="K421">
        <f t="shared" si="18"/>
        <v>2848.1</v>
      </c>
      <c r="L421">
        <f>_xlfn.XLOOKUP(D421,product_cost!A:A,product_cost!B:B)</f>
        <v>800</v>
      </c>
      <c r="M421">
        <f t="shared" si="19"/>
        <v>1248.0999999999999</v>
      </c>
      <c r="N421" s="10">
        <f t="shared" si="20"/>
        <v>0.43822197254309891</v>
      </c>
    </row>
    <row r="422" spans="1:14" x14ac:dyDescent="0.25">
      <c r="A422" t="s">
        <v>616</v>
      </c>
      <c r="B422" s="2">
        <v>45973</v>
      </c>
      <c r="C422" t="s">
        <v>314</v>
      </c>
      <c r="D422" t="s">
        <v>65</v>
      </c>
      <c r="E422" t="s">
        <v>29</v>
      </c>
      <c r="F422" t="s">
        <v>41</v>
      </c>
      <c r="G422">
        <v>3</v>
      </c>
      <c r="H422" s="3">
        <v>1299</v>
      </c>
      <c r="I422" s="4">
        <v>0.15</v>
      </c>
      <c r="J422" t="s">
        <v>42</v>
      </c>
      <c r="K422">
        <f t="shared" si="18"/>
        <v>3312.45</v>
      </c>
      <c r="L422">
        <f>_xlfn.XLOOKUP(D422,product_cost!A:A,product_cost!B:B)</f>
        <v>750</v>
      </c>
      <c r="M422">
        <f t="shared" si="19"/>
        <v>1062.4499999999998</v>
      </c>
      <c r="N422" s="10">
        <f t="shared" si="20"/>
        <v>0.32074446406738211</v>
      </c>
    </row>
    <row r="423" spans="1:14" x14ac:dyDescent="0.25">
      <c r="A423" t="s">
        <v>617</v>
      </c>
      <c r="B423" s="2">
        <v>45801</v>
      </c>
      <c r="C423" t="s">
        <v>221</v>
      </c>
      <c r="D423" t="s">
        <v>53</v>
      </c>
      <c r="E423" t="s">
        <v>40</v>
      </c>
      <c r="F423" t="s">
        <v>41</v>
      </c>
      <c r="G423">
        <v>1</v>
      </c>
      <c r="H423" s="3">
        <v>1799</v>
      </c>
      <c r="I423" s="4">
        <v>0.2</v>
      </c>
      <c r="J423" t="s">
        <v>47</v>
      </c>
      <c r="K423">
        <f t="shared" si="18"/>
        <v>1439.2</v>
      </c>
      <c r="L423">
        <f>_xlfn.XLOOKUP(D423,product_cost!A:A,product_cost!B:B)</f>
        <v>1000</v>
      </c>
      <c r="M423">
        <f t="shared" si="19"/>
        <v>439.20000000000005</v>
      </c>
      <c r="N423" s="10">
        <f t="shared" si="20"/>
        <v>0.30516953863257368</v>
      </c>
    </row>
    <row r="424" spans="1:14" x14ac:dyDescent="0.25">
      <c r="A424" t="s">
        <v>618</v>
      </c>
      <c r="B424" s="2">
        <v>45951</v>
      </c>
      <c r="C424" t="s">
        <v>275</v>
      </c>
      <c r="D424" t="s">
        <v>53</v>
      </c>
      <c r="E424" t="s">
        <v>40</v>
      </c>
      <c r="F424" t="s">
        <v>19</v>
      </c>
      <c r="G424">
        <v>5</v>
      </c>
      <c r="H424" s="3">
        <v>1799</v>
      </c>
      <c r="I424" s="4">
        <v>0.1</v>
      </c>
      <c r="J424" t="s">
        <v>20</v>
      </c>
      <c r="K424">
        <f t="shared" si="18"/>
        <v>8095.5</v>
      </c>
      <c r="L424">
        <f>_xlfn.XLOOKUP(D424,product_cost!A:A,product_cost!B:B)</f>
        <v>1000</v>
      </c>
      <c r="M424">
        <f t="shared" si="19"/>
        <v>3095.5</v>
      </c>
      <c r="N424" s="10">
        <f t="shared" si="20"/>
        <v>0.38237292322895433</v>
      </c>
    </row>
    <row r="425" spans="1:14" x14ac:dyDescent="0.25">
      <c r="A425" t="s">
        <v>619</v>
      </c>
      <c r="B425" s="2">
        <v>45868</v>
      </c>
      <c r="C425" t="s">
        <v>343</v>
      </c>
      <c r="D425" t="s">
        <v>28</v>
      </c>
      <c r="E425" t="s">
        <v>29</v>
      </c>
      <c r="F425" t="s">
        <v>14</v>
      </c>
      <c r="G425">
        <v>3</v>
      </c>
      <c r="H425" s="3">
        <v>599</v>
      </c>
      <c r="I425" s="4">
        <v>0</v>
      </c>
      <c r="J425" t="s">
        <v>20</v>
      </c>
      <c r="K425">
        <f t="shared" si="18"/>
        <v>1797</v>
      </c>
      <c r="L425">
        <f>_xlfn.XLOOKUP(D425,product_cost!A:A,product_cost!B:B)</f>
        <v>300</v>
      </c>
      <c r="M425">
        <f t="shared" si="19"/>
        <v>897</v>
      </c>
      <c r="N425" s="10">
        <f t="shared" si="20"/>
        <v>0.4991652754590985</v>
      </c>
    </row>
    <row r="426" spans="1:14" x14ac:dyDescent="0.25">
      <c r="A426" t="s">
        <v>620</v>
      </c>
      <c r="B426" s="2">
        <v>45732</v>
      </c>
      <c r="C426" t="s">
        <v>426</v>
      </c>
      <c r="D426" t="s">
        <v>65</v>
      </c>
      <c r="E426" t="s">
        <v>29</v>
      </c>
      <c r="F426" t="s">
        <v>25</v>
      </c>
      <c r="G426">
        <v>3</v>
      </c>
      <c r="H426" s="3">
        <v>1299</v>
      </c>
      <c r="I426" s="4">
        <v>0.1</v>
      </c>
      <c r="J426" t="s">
        <v>20</v>
      </c>
      <c r="K426">
        <f t="shared" si="18"/>
        <v>3507.3</v>
      </c>
      <c r="L426">
        <f>_xlfn.XLOOKUP(D426,product_cost!A:A,product_cost!B:B)</f>
        <v>750</v>
      </c>
      <c r="M426">
        <f t="shared" si="19"/>
        <v>1257.3000000000002</v>
      </c>
      <c r="N426" s="10">
        <f t="shared" si="20"/>
        <v>0.35848088273030537</v>
      </c>
    </row>
    <row r="427" spans="1:14" x14ac:dyDescent="0.25">
      <c r="A427" t="s">
        <v>621</v>
      </c>
      <c r="B427" s="2">
        <v>45953</v>
      </c>
      <c r="C427" t="s">
        <v>596</v>
      </c>
      <c r="D427" t="s">
        <v>28</v>
      </c>
      <c r="E427" t="s">
        <v>29</v>
      </c>
      <c r="F427" t="s">
        <v>19</v>
      </c>
      <c r="G427">
        <v>2</v>
      </c>
      <c r="H427" s="3">
        <v>599</v>
      </c>
      <c r="I427" s="4">
        <v>0.05</v>
      </c>
      <c r="J427" t="s">
        <v>15</v>
      </c>
      <c r="K427">
        <f t="shared" si="18"/>
        <v>1138.0999999999999</v>
      </c>
      <c r="L427">
        <f>_xlfn.XLOOKUP(D427,product_cost!A:A,product_cost!B:B)</f>
        <v>300</v>
      </c>
      <c r="M427">
        <f t="shared" si="19"/>
        <v>538.09999999999991</v>
      </c>
      <c r="N427" s="10">
        <f t="shared" si="20"/>
        <v>0.47280555311484046</v>
      </c>
    </row>
    <row r="428" spans="1:14" x14ac:dyDescent="0.25">
      <c r="A428" t="s">
        <v>622</v>
      </c>
      <c r="B428" s="2">
        <v>45864</v>
      </c>
      <c r="C428" t="s">
        <v>468</v>
      </c>
      <c r="D428" t="s">
        <v>62</v>
      </c>
      <c r="E428" t="s">
        <v>24</v>
      </c>
      <c r="F428" t="s">
        <v>41</v>
      </c>
      <c r="G428">
        <v>1</v>
      </c>
      <c r="H428" s="3">
        <v>1499</v>
      </c>
      <c r="I428" s="4">
        <v>0.15</v>
      </c>
      <c r="J428" t="s">
        <v>30</v>
      </c>
      <c r="K428">
        <f t="shared" si="18"/>
        <v>1274.1499999999999</v>
      </c>
      <c r="L428">
        <f>_xlfn.XLOOKUP(D428,product_cost!A:A,product_cost!B:B)</f>
        <v>800</v>
      </c>
      <c r="M428">
        <f t="shared" si="19"/>
        <v>474.14999999999986</v>
      </c>
      <c r="N428" s="10">
        <f t="shared" si="20"/>
        <v>0.3721304399011105</v>
      </c>
    </row>
    <row r="429" spans="1:14" x14ac:dyDescent="0.25">
      <c r="A429" t="s">
        <v>623</v>
      </c>
      <c r="B429" s="2">
        <v>45907</v>
      </c>
      <c r="C429" t="s">
        <v>219</v>
      </c>
      <c r="D429" t="s">
        <v>23</v>
      </c>
      <c r="E429" t="s">
        <v>24</v>
      </c>
      <c r="F429" t="s">
        <v>19</v>
      </c>
      <c r="G429">
        <v>1</v>
      </c>
      <c r="H429" s="3">
        <v>3999</v>
      </c>
      <c r="I429" s="4">
        <v>0.1</v>
      </c>
      <c r="J429" t="s">
        <v>30</v>
      </c>
      <c r="K429">
        <f t="shared" si="18"/>
        <v>3599.1</v>
      </c>
      <c r="L429">
        <f>_xlfn.XLOOKUP(D429,product_cost!A:A,product_cost!B:B)</f>
        <v>2600</v>
      </c>
      <c r="M429">
        <f t="shared" si="19"/>
        <v>999.09999999999991</v>
      </c>
      <c r="N429" s="10">
        <f t="shared" si="20"/>
        <v>0.27759717707204579</v>
      </c>
    </row>
    <row r="430" spans="1:14" x14ac:dyDescent="0.25">
      <c r="A430" t="s">
        <v>624</v>
      </c>
      <c r="B430" s="2">
        <v>45983</v>
      </c>
      <c r="C430" t="s">
        <v>339</v>
      </c>
      <c r="D430" t="s">
        <v>62</v>
      </c>
      <c r="E430" t="s">
        <v>24</v>
      </c>
      <c r="F430" t="s">
        <v>25</v>
      </c>
      <c r="G430">
        <v>1</v>
      </c>
      <c r="H430" s="3">
        <v>1499</v>
      </c>
      <c r="I430" s="4">
        <v>0</v>
      </c>
      <c r="J430" t="s">
        <v>20</v>
      </c>
      <c r="K430">
        <f t="shared" si="18"/>
        <v>1499</v>
      </c>
      <c r="L430">
        <f>_xlfn.XLOOKUP(D430,product_cost!A:A,product_cost!B:B)</f>
        <v>800</v>
      </c>
      <c r="M430">
        <f t="shared" si="19"/>
        <v>699</v>
      </c>
      <c r="N430" s="10">
        <f t="shared" si="20"/>
        <v>0.46631087391594395</v>
      </c>
    </row>
    <row r="431" spans="1:14" x14ac:dyDescent="0.25">
      <c r="A431" t="s">
        <v>625</v>
      </c>
      <c r="B431" s="2">
        <v>45877</v>
      </c>
      <c r="C431" t="s">
        <v>123</v>
      </c>
      <c r="D431" t="s">
        <v>104</v>
      </c>
      <c r="E431" t="s">
        <v>40</v>
      </c>
      <c r="F431" t="s">
        <v>41</v>
      </c>
      <c r="G431">
        <v>1</v>
      </c>
      <c r="H431" s="3">
        <v>999</v>
      </c>
      <c r="I431" s="4">
        <v>0.15</v>
      </c>
      <c r="J431" t="s">
        <v>42</v>
      </c>
      <c r="K431">
        <f t="shared" si="18"/>
        <v>849.15</v>
      </c>
      <c r="L431">
        <f>_xlfn.XLOOKUP(D431,product_cost!A:A,product_cost!B:B)</f>
        <v>550</v>
      </c>
      <c r="M431">
        <f t="shared" si="19"/>
        <v>299.14999999999998</v>
      </c>
      <c r="N431" s="10">
        <f t="shared" si="20"/>
        <v>0.35229346994052874</v>
      </c>
    </row>
    <row r="432" spans="1:14" x14ac:dyDescent="0.25">
      <c r="A432" t="s">
        <v>626</v>
      </c>
      <c r="B432" s="2">
        <v>45953</v>
      </c>
      <c r="C432" t="s">
        <v>326</v>
      </c>
      <c r="D432" t="s">
        <v>23</v>
      </c>
      <c r="E432" t="s">
        <v>24</v>
      </c>
      <c r="F432" t="s">
        <v>19</v>
      </c>
      <c r="G432">
        <v>3</v>
      </c>
      <c r="H432" s="3">
        <v>3999</v>
      </c>
      <c r="I432" s="4">
        <v>0.1</v>
      </c>
      <c r="J432" t="s">
        <v>15</v>
      </c>
      <c r="K432">
        <f t="shared" si="18"/>
        <v>10797.300000000001</v>
      </c>
      <c r="L432">
        <f>_xlfn.XLOOKUP(D432,product_cost!A:A,product_cost!B:B)</f>
        <v>2600</v>
      </c>
      <c r="M432">
        <f t="shared" si="19"/>
        <v>2997.3000000000011</v>
      </c>
      <c r="N432" s="10">
        <f t="shared" si="20"/>
        <v>0.27759717707204584</v>
      </c>
    </row>
    <row r="433" spans="1:14" x14ac:dyDescent="0.25">
      <c r="A433" t="s">
        <v>627</v>
      </c>
      <c r="B433" s="2">
        <v>45708</v>
      </c>
      <c r="C433" t="s">
        <v>265</v>
      </c>
      <c r="D433" t="s">
        <v>104</v>
      </c>
      <c r="E433" t="s">
        <v>40</v>
      </c>
      <c r="F433" t="s">
        <v>14</v>
      </c>
      <c r="G433">
        <v>1</v>
      </c>
      <c r="H433" s="3">
        <v>999</v>
      </c>
      <c r="I433" s="4">
        <v>0.15</v>
      </c>
      <c r="J433" t="s">
        <v>30</v>
      </c>
      <c r="K433">
        <f t="shared" si="18"/>
        <v>849.15</v>
      </c>
      <c r="L433">
        <f>_xlfn.XLOOKUP(D433,product_cost!A:A,product_cost!B:B)</f>
        <v>550</v>
      </c>
      <c r="M433">
        <f t="shared" si="19"/>
        <v>299.14999999999998</v>
      </c>
      <c r="N433" s="10">
        <f t="shared" si="20"/>
        <v>0.35229346994052874</v>
      </c>
    </row>
    <row r="434" spans="1:14" x14ac:dyDescent="0.25">
      <c r="A434" t="s">
        <v>628</v>
      </c>
      <c r="B434" s="2">
        <v>45891</v>
      </c>
      <c r="C434" t="s">
        <v>106</v>
      </c>
      <c r="D434" t="s">
        <v>39</v>
      </c>
      <c r="E434" t="s">
        <v>40</v>
      </c>
      <c r="F434" t="s">
        <v>14</v>
      </c>
      <c r="G434">
        <v>1</v>
      </c>
      <c r="H434" s="3">
        <v>2999</v>
      </c>
      <c r="I434" s="4">
        <v>0.1</v>
      </c>
      <c r="J434" t="s">
        <v>47</v>
      </c>
      <c r="K434">
        <f t="shared" si="18"/>
        <v>2699.1</v>
      </c>
      <c r="L434">
        <f>_xlfn.XLOOKUP(D434,product_cost!A:A,product_cost!B:B)</f>
        <v>1800</v>
      </c>
      <c r="M434">
        <f t="shared" si="19"/>
        <v>899.09999999999991</v>
      </c>
      <c r="N434" s="10">
        <f t="shared" si="20"/>
        <v>0.33311103701233741</v>
      </c>
    </row>
    <row r="435" spans="1:14" x14ac:dyDescent="0.25">
      <c r="A435" t="s">
        <v>629</v>
      </c>
      <c r="B435" s="2">
        <v>45739</v>
      </c>
      <c r="C435" t="s">
        <v>321</v>
      </c>
      <c r="D435" t="s">
        <v>18</v>
      </c>
      <c r="E435" t="s">
        <v>13</v>
      </c>
      <c r="F435" t="s">
        <v>41</v>
      </c>
      <c r="G435">
        <v>2</v>
      </c>
      <c r="H435" s="3">
        <v>2499</v>
      </c>
      <c r="I435" s="4">
        <v>0</v>
      </c>
      <c r="J435" t="s">
        <v>20</v>
      </c>
      <c r="K435">
        <f t="shared" si="18"/>
        <v>4998</v>
      </c>
      <c r="L435">
        <f>_xlfn.XLOOKUP(D435,product_cost!A:A,product_cost!B:B)</f>
        <v>1600</v>
      </c>
      <c r="M435">
        <f t="shared" si="19"/>
        <v>1798</v>
      </c>
      <c r="N435" s="10">
        <f t="shared" si="20"/>
        <v>0.35974389755902358</v>
      </c>
    </row>
    <row r="436" spans="1:14" x14ac:dyDescent="0.25">
      <c r="A436" t="s">
        <v>630</v>
      </c>
      <c r="B436" s="2">
        <v>45684</v>
      </c>
      <c r="C436" t="s">
        <v>359</v>
      </c>
      <c r="D436" t="s">
        <v>50</v>
      </c>
      <c r="E436" t="s">
        <v>24</v>
      </c>
      <c r="F436" t="s">
        <v>14</v>
      </c>
      <c r="G436">
        <v>1</v>
      </c>
      <c r="H436" s="3">
        <v>799</v>
      </c>
      <c r="I436" s="4">
        <v>0.1</v>
      </c>
      <c r="J436" t="s">
        <v>30</v>
      </c>
      <c r="K436">
        <f t="shared" si="18"/>
        <v>719.1</v>
      </c>
      <c r="L436">
        <f>_xlfn.XLOOKUP(D436,product_cost!A:A,product_cost!B:B)</f>
        <v>400</v>
      </c>
      <c r="M436">
        <f t="shared" si="19"/>
        <v>319.10000000000002</v>
      </c>
      <c r="N436" s="10">
        <f t="shared" si="20"/>
        <v>0.44374913085801698</v>
      </c>
    </row>
    <row r="437" spans="1:14" x14ac:dyDescent="0.25">
      <c r="A437" t="s">
        <v>631</v>
      </c>
      <c r="B437" s="2">
        <v>45993</v>
      </c>
      <c r="C437" t="s">
        <v>133</v>
      </c>
      <c r="D437" t="s">
        <v>62</v>
      </c>
      <c r="E437" t="s">
        <v>24</v>
      </c>
      <c r="F437" t="s">
        <v>19</v>
      </c>
      <c r="G437">
        <v>1</v>
      </c>
      <c r="H437" s="3">
        <v>1499</v>
      </c>
      <c r="I437" s="4">
        <v>0</v>
      </c>
      <c r="J437" t="s">
        <v>20</v>
      </c>
      <c r="K437">
        <f t="shared" si="18"/>
        <v>1499</v>
      </c>
      <c r="L437">
        <f>_xlfn.XLOOKUP(D437,product_cost!A:A,product_cost!B:B)</f>
        <v>800</v>
      </c>
      <c r="M437">
        <f t="shared" si="19"/>
        <v>699</v>
      </c>
      <c r="N437" s="10">
        <f t="shared" si="20"/>
        <v>0.46631087391594395</v>
      </c>
    </row>
    <row r="438" spans="1:14" x14ac:dyDescent="0.25">
      <c r="A438" t="s">
        <v>632</v>
      </c>
      <c r="B438" s="2">
        <v>45961</v>
      </c>
      <c r="C438" t="s">
        <v>87</v>
      </c>
      <c r="D438" t="s">
        <v>53</v>
      </c>
      <c r="E438" t="s">
        <v>40</v>
      </c>
      <c r="F438" t="s">
        <v>41</v>
      </c>
      <c r="G438">
        <v>2</v>
      </c>
      <c r="H438" s="3">
        <v>1799</v>
      </c>
      <c r="I438" s="4">
        <v>0</v>
      </c>
      <c r="J438" t="s">
        <v>15</v>
      </c>
      <c r="K438">
        <f t="shared" si="18"/>
        <v>3598</v>
      </c>
      <c r="L438">
        <f>_xlfn.XLOOKUP(D438,product_cost!A:A,product_cost!B:B)</f>
        <v>1000</v>
      </c>
      <c r="M438">
        <f t="shared" si="19"/>
        <v>1598</v>
      </c>
      <c r="N438" s="10">
        <f t="shared" si="20"/>
        <v>0.4441356309060589</v>
      </c>
    </row>
    <row r="439" spans="1:14" x14ac:dyDescent="0.25">
      <c r="A439" t="s">
        <v>633</v>
      </c>
      <c r="B439" s="2">
        <v>45874</v>
      </c>
      <c r="C439" t="s">
        <v>289</v>
      </c>
      <c r="D439" t="s">
        <v>33</v>
      </c>
      <c r="E439" t="s">
        <v>13</v>
      </c>
      <c r="F439" t="s">
        <v>19</v>
      </c>
      <c r="G439">
        <v>2</v>
      </c>
      <c r="H439" s="3">
        <v>3499</v>
      </c>
      <c r="I439" s="4">
        <v>0</v>
      </c>
      <c r="J439" t="s">
        <v>15</v>
      </c>
      <c r="K439">
        <f t="shared" si="18"/>
        <v>6998</v>
      </c>
      <c r="L439">
        <f>_xlfn.XLOOKUP(D439,product_cost!A:A,product_cost!B:B)</f>
        <v>2300</v>
      </c>
      <c r="M439">
        <f t="shared" si="19"/>
        <v>2398</v>
      </c>
      <c r="N439" s="10">
        <f t="shared" si="20"/>
        <v>0.34266933409545586</v>
      </c>
    </row>
    <row r="440" spans="1:14" x14ac:dyDescent="0.25">
      <c r="A440" t="s">
        <v>634</v>
      </c>
      <c r="B440" s="2">
        <v>45710</v>
      </c>
      <c r="C440" t="s">
        <v>57</v>
      </c>
      <c r="D440" t="s">
        <v>36</v>
      </c>
      <c r="E440" t="s">
        <v>29</v>
      </c>
      <c r="F440" t="s">
        <v>14</v>
      </c>
      <c r="G440">
        <v>3</v>
      </c>
      <c r="H440" s="3">
        <v>399</v>
      </c>
      <c r="I440" s="4">
        <v>0</v>
      </c>
      <c r="J440" t="s">
        <v>20</v>
      </c>
      <c r="K440">
        <f t="shared" si="18"/>
        <v>1197</v>
      </c>
      <c r="L440">
        <f>_xlfn.XLOOKUP(D440,product_cost!A:A,product_cost!B:B)</f>
        <v>180</v>
      </c>
      <c r="M440">
        <f t="shared" si="19"/>
        <v>657</v>
      </c>
      <c r="N440" s="10">
        <f t="shared" si="20"/>
        <v>0.54887218045112784</v>
      </c>
    </row>
    <row r="441" spans="1:14" x14ac:dyDescent="0.25">
      <c r="A441" t="s">
        <v>635</v>
      </c>
      <c r="B441" s="2">
        <v>45693</v>
      </c>
      <c r="C441" t="s">
        <v>127</v>
      </c>
      <c r="D441" t="s">
        <v>23</v>
      </c>
      <c r="E441" t="s">
        <v>24</v>
      </c>
      <c r="F441" t="s">
        <v>25</v>
      </c>
      <c r="G441">
        <v>1</v>
      </c>
      <c r="H441" s="3">
        <v>3999</v>
      </c>
      <c r="I441" s="4">
        <v>0.1</v>
      </c>
      <c r="J441" t="s">
        <v>47</v>
      </c>
      <c r="K441">
        <f t="shared" si="18"/>
        <v>3599.1</v>
      </c>
      <c r="L441">
        <f>_xlfn.XLOOKUP(D441,product_cost!A:A,product_cost!B:B)</f>
        <v>2600</v>
      </c>
      <c r="M441">
        <f t="shared" si="19"/>
        <v>999.09999999999991</v>
      </c>
      <c r="N441" s="10">
        <f t="shared" si="20"/>
        <v>0.27759717707204579</v>
      </c>
    </row>
    <row r="442" spans="1:14" x14ac:dyDescent="0.25">
      <c r="A442" t="s">
        <v>636</v>
      </c>
      <c r="B442" s="2">
        <v>45767</v>
      </c>
      <c r="C442" t="s">
        <v>265</v>
      </c>
      <c r="D442" t="s">
        <v>62</v>
      </c>
      <c r="E442" t="s">
        <v>24</v>
      </c>
      <c r="F442" t="s">
        <v>25</v>
      </c>
      <c r="G442">
        <v>1</v>
      </c>
      <c r="H442" s="3">
        <v>1499</v>
      </c>
      <c r="I442" s="4">
        <v>0.05</v>
      </c>
      <c r="J442" t="s">
        <v>20</v>
      </c>
      <c r="K442">
        <f t="shared" si="18"/>
        <v>1424.05</v>
      </c>
      <c r="L442">
        <f>_xlfn.XLOOKUP(D442,product_cost!A:A,product_cost!B:B)</f>
        <v>800</v>
      </c>
      <c r="M442">
        <f t="shared" si="19"/>
        <v>624.04999999999995</v>
      </c>
      <c r="N442" s="10">
        <f t="shared" si="20"/>
        <v>0.43822197254309891</v>
      </c>
    </row>
    <row r="443" spans="1:14" x14ac:dyDescent="0.25">
      <c r="A443" t="s">
        <v>637</v>
      </c>
      <c r="B443" s="2">
        <v>45702</v>
      </c>
      <c r="C443" t="s">
        <v>587</v>
      </c>
      <c r="D443" t="s">
        <v>33</v>
      </c>
      <c r="E443" t="s">
        <v>13</v>
      </c>
      <c r="F443" t="s">
        <v>25</v>
      </c>
      <c r="G443">
        <v>3</v>
      </c>
      <c r="H443" s="3">
        <v>3499</v>
      </c>
      <c r="I443" s="4">
        <v>0.05</v>
      </c>
      <c r="J443" t="s">
        <v>47</v>
      </c>
      <c r="K443">
        <f t="shared" si="18"/>
        <v>9972.15</v>
      </c>
      <c r="L443">
        <f>_xlfn.XLOOKUP(D443,product_cost!A:A,product_cost!B:B)</f>
        <v>2300</v>
      </c>
      <c r="M443">
        <f t="shared" si="19"/>
        <v>3072.1499999999996</v>
      </c>
      <c r="N443" s="10">
        <f t="shared" si="20"/>
        <v>0.30807298325837457</v>
      </c>
    </row>
    <row r="444" spans="1:14" x14ac:dyDescent="0.25">
      <c r="A444" t="s">
        <v>638</v>
      </c>
      <c r="B444" s="2">
        <v>45877</v>
      </c>
      <c r="C444" t="s">
        <v>57</v>
      </c>
      <c r="D444" t="s">
        <v>33</v>
      </c>
      <c r="E444" t="s">
        <v>13</v>
      </c>
      <c r="F444" t="s">
        <v>14</v>
      </c>
      <c r="G444">
        <v>1</v>
      </c>
      <c r="H444" s="3">
        <v>3499</v>
      </c>
      <c r="I444" s="4">
        <v>0.1</v>
      </c>
      <c r="J444" t="s">
        <v>42</v>
      </c>
      <c r="K444">
        <f t="shared" si="18"/>
        <v>3149.1</v>
      </c>
      <c r="L444">
        <f>_xlfn.XLOOKUP(D444,product_cost!A:A,product_cost!B:B)</f>
        <v>2300</v>
      </c>
      <c r="M444">
        <f t="shared" si="19"/>
        <v>849.09999999999991</v>
      </c>
      <c r="N444" s="10">
        <f t="shared" si="20"/>
        <v>0.26963259343939538</v>
      </c>
    </row>
    <row r="445" spans="1:14" x14ac:dyDescent="0.25">
      <c r="A445" t="s">
        <v>639</v>
      </c>
      <c r="B445" s="2">
        <v>45965</v>
      </c>
      <c r="C445" t="s">
        <v>209</v>
      </c>
      <c r="D445" t="s">
        <v>62</v>
      </c>
      <c r="E445" t="s">
        <v>24</v>
      </c>
      <c r="F445" t="s">
        <v>19</v>
      </c>
      <c r="G445">
        <v>2</v>
      </c>
      <c r="H445" s="3">
        <v>1499</v>
      </c>
      <c r="I445" s="4">
        <v>0.1</v>
      </c>
      <c r="J445" t="s">
        <v>47</v>
      </c>
      <c r="K445">
        <f t="shared" si="18"/>
        <v>2698.2000000000003</v>
      </c>
      <c r="L445">
        <f>_xlfn.XLOOKUP(D445,product_cost!A:A,product_cost!B:B)</f>
        <v>800</v>
      </c>
      <c r="M445">
        <f t="shared" si="19"/>
        <v>1098.2000000000003</v>
      </c>
      <c r="N445" s="10">
        <f t="shared" si="20"/>
        <v>0.40701208212882667</v>
      </c>
    </row>
    <row r="446" spans="1:14" x14ac:dyDescent="0.25">
      <c r="A446" t="s">
        <v>640</v>
      </c>
      <c r="B446" s="2">
        <v>45763</v>
      </c>
      <c r="C446" t="s">
        <v>641</v>
      </c>
      <c r="D446" t="s">
        <v>23</v>
      </c>
      <c r="E446" t="s">
        <v>24</v>
      </c>
      <c r="F446" t="s">
        <v>41</v>
      </c>
      <c r="G446">
        <v>2</v>
      </c>
      <c r="H446" s="3">
        <v>3999</v>
      </c>
      <c r="I446" s="4">
        <v>0.1</v>
      </c>
      <c r="J446" t="s">
        <v>15</v>
      </c>
      <c r="K446">
        <f t="shared" si="18"/>
        <v>7198.2</v>
      </c>
      <c r="L446">
        <f>_xlfn.XLOOKUP(D446,product_cost!A:A,product_cost!B:B)</f>
        <v>2600</v>
      </c>
      <c r="M446">
        <f t="shared" si="19"/>
        <v>1998.1999999999998</v>
      </c>
      <c r="N446" s="10">
        <f t="shared" si="20"/>
        <v>0.27759717707204579</v>
      </c>
    </row>
    <row r="447" spans="1:14" x14ac:dyDescent="0.25">
      <c r="A447" t="s">
        <v>642</v>
      </c>
      <c r="B447" s="2">
        <v>45780</v>
      </c>
      <c r="C447" t="s">
        <v>255</v>
      </c>
      <c r="D447" t="s">
        <v>39</v>
      </c>
      <c r="E447" t="s">
        <v>40</v>
      </c>
      <c r="F447" t="s">
        <v>19</v>
      </c>
      <c r="G447">
        <v>1</v>
      </c>
      <c r="H447" s="3">
        <v>2999</v>
      </c>
      <c r="I447" s="4">
        <v>0.05</v>
      </c>
      <c r="J447" t="s">
        <v>42</v>
      </c>
      <c r="K447">
        <f t="shared" si="18"/>
        <v>2849.0499999999997</v>
      </c>
      <c r="L447">
        <f>_xlfn.XLOOKUP(D447,product_cost!A:A,product_cost!B:B)</f>
        <v>1800</v>
      </c>
      <c r="M447">
        <f t="shared" si="19"/>
        <v>1049.0499999999997</v>
      </c>
      <c r="N447" s="10">
        <f t="shared" si="20"/>
        <v>0.36821045611695119</v>
      </c>
    </row>
    <row r="448" spans="1:14" x14ac:dyDescent="0.25">
      <c r="A448" t="s">
        <v>643</v>
      </c>
      <c r="B448" s="2">
        <v>45664</v>
      </c>
      <c r="C448" t="s">
        <v>64</v>
      </c>
      <c r="D448" t="s">
        <v>36</v>
      </c>
      <c r="E448" t="s">
        <v>29</v>
      </c>
      <c r="F448" t="s">
        <v>25</v>
      </c>
      <c r="G448">
        <v>1</v>
      </c>
      <c r="H448" s="3">
        <v>399</v>
      </c>
      <c r="I448" s="4">
        <v>0.15</v>
      </c>
      <c r="J448" t="s">
        <v>47</v>
      </c>
      <c r="K448">
        <f t="shared" si="18"/>
        <v>339.15</v>
      </c>
      <c r="L448">
        <f>_xlfn.XLOOKUP(D448,product_cost!A:A,product_cost!B:B)</f>
        <v>180</v>
      </c>
      <c r="M448">
        <f t="shared" si="19"/>
        <v>159.14999999999998</v>
      </c>
      <c r="N448" s="10">
        <f t="shared" si="20"/>
        <v>0.46926138876603268</v>
      </c>
    </row>
    <row r="449" spans="1:14" x14ac:dyDescent="0.25">
      <c r="A449" t="s">
        <v>644</v>
      </c>
      <c r="B449" s="2">
        <v>45937</v>
      </c>
      <c r="C449" t="s">
        <v>70</v>
      </c>
      <c r="D449" t="s">
        <v>33</v>
      </c>
      <c r="E449" t="s">
        <v>13</v>
      </c>
      <c r="F449" t="s">
        <v>19</v>
      </c>
      <c r="G449">
        <v>3</v>
      </c>
      <c r="H449" s="3">
        <v>3499</v>
      </c>
      <c r="I449" s="4">
        <v>0.2</v>
      </c>
      <c r="J449" t="s">
        <v>15</v>
      </c>
      <c r="K449">
        <f t="shared" si="18"/>
        <v>8397.6</v>
      </c>
      <c r="L449">
        <f>_xlfn.XLOOKUP(D449,product_cost!A:A,product_cost!B:B)</f>
        <v>2300</v>
      </c>
      <c r="M449">
        <f t="shared" si="19"/>
        <v>1497.6000000000004</v>
      </c>
      <c r="N449" s="10">
        <f t="shared" si="20"/>
        <v>0.17833666761931985</v>
      </c>
    </row>
    <row r="450" spans="1:14" x14ac:dyDescent="0.25">
      <c r="A450" t="s">
        <v>645</v>
      </c>
      <c r="B450" s="2">
        <v>45958</v>
      </c>
      <c r="C450" t="s">
        <v>44</v>
      </c>
      <c r="D450" t="s">
        <v>12</v>
      </c>
      <c r="E450" t="s">
        <v>13</v>
      </c>
      <c r="F450" t="s">
        <v>19</v>
      </c>
      <c r="G450">
        <v>1</v>
      </c>
      <c r="H450" s="3">
        <v>1999</v>
      </c>
      <c r="I450" s="4">
        <v>0</v>
      </c>
      <c r="J450" t="s">
        <v>30</v>
      </c>
      <c r="K450">
        <f t="shared" ref="K450:K501" si="21">G450*H450*(1-I450)</f>
        <v>1999</v>
      </c>
      <c r="L450">
        <f>_xlfn.XLOOKUP(D450,product_cost!A:A,product_cost!B:B)</f>
        <v>1200</v>
      </c>
      <c r="M450">
        <f t="shared" ref="M450:M501" si="22">K450-(G450*L450)</f>
        <v>799</v>
      </c>
      <c r="N450" s="10">
        <f t="shared" ref="N450:N501" si="23">M450/K450</f>
        <v>0.39969984992496249</v>
      </c>
    </row>
    <row r="451" spans="1:14" x14ac:dyDescent="0.25">
      <c r="A451" t="s">
        <v>646</v>
      </c>
      <c r="B451" s="2">
        <v>45917</v>
      </c>
      <c r="C451" t="s">
        <v>296</v>
      </c>
      <c r="D451" t="s">
        <v>50</v>
      </c>
      <c r="E451" t="s">
        <v>24</v>
      </c>
      <c r="F451" t="s">
        <v>25</v>
      </c>
      <c r="G451">
        <v>2</v>
      </c>
      <c r="H451" s="3">
        <v>799</v>
      </c>
      <c r="I451" s="4">
        <v>0.1</v>
      </c>
      <c r="J451" t="s">
        <v>30</v>
      </c>
      <c r="K451">
        <f t="shared" si="21"/>
        <v>1438.2</v>
      </c>
      <c r="L451">
        <f>_xlfn.XLOOKUP(D451,product_cost!A:A,product_cost!B:B)</f>
        <v>400</v>
      </c>
      <c r="M451">
        <f t="shared" si="22"/>
        <v>638.20000000000005</v>
      </c>
      <c r="N451" s="10">
        <f t="shared" si="23"/>
        <v>0.44374913085801698</v>
      </c>
    </row>
    <row r="452" spans="1:14" x14ac:dyDescent="0.25">
      <c r="A452" t="s">
        <v>647</v>
      </c>
      <c r="B452" s="2">
        <v>45700</v>
      </c>
      <c r="C452" t="s">
        <v>135</v>
      </c>
      <c r="D452" t="s">
        <v>53</v>
      </c>
      <c r="E452" t="s">
        <v>40</v>
      </c>
      <c r="F452" t="s">
        <v>19</v>
      </c>
      <c r="G452">
        <v>2</v>
      </c>
      <c r="H452" s="3">
        <v>1799</v>
      </c>
      <c r="I452" s="4">
        <v>0</v>
      </c>
      <c r="J452" t="s">
        <v>47</v>
      </c>
      <c r="K452">
        <f t="shared" si="21"/>
        <v>3598</v>
      </c>
      <c r="L452">
        <f>_xlfn.XLOOKUP(D452,product_cost!A:A,product_cost!B:B)</f>
        <v>1000</v>
      </c>
      <c r="M452">
        <f t="shared" si="22"/>
        <v>1598</v>
      </c>
      <c r="N452" s="10">
        <f t="shared" si="23"/>
        <v>0.4441356309060589</v>
      </c>
    </row>
    <row r="453" spans="1:14" x14ac:dyDescent="0.25">
      <c r="A453" t="s">
        <v>648</v>
      </c>
      <c r="B453" s="2">
        <v>45698</v>
      </c>
      <c r="C453" t="s">
        <v>649</v>
      </c>
      <c r="D453" t="s">
        <v>65</v>
      </c>
      <c r="E453" t="s">
        <v>29</v>
      </c>
      <c r="F453" t="s">
        <v>41</v>
      </c>
      <c r="G453">
        <v>5</v>
      </c>
      <c r="H453" s="3">
        <v>1299</v>
      </c>
      <c r="I453" s="4">
        <v>0</v>
      </c>
      <c r="J453" t="s">
        <v>30</v>
      </c>
      <c r="K453">
        <f t="shared" si="21"/>
        <v>6495</v>
      </c>
      <c r="L453">
        <f>_xlfn.XLOOKUP(D453,product_cost!A:A,product_cost!B:B)</f>
        <v>750</v>
      </c>
      <c r="M453">
        <f t="shared" si="22"/>
        <v>2745</v>
      </c>
      <c r="N453" s="10">
        <f t="shared" si="23"/>
        <v>0.42263279445727481</v>
      </c>
    </row>
    <row r="454" spans="1:14" x14ac:dyDescent="0.25">
      <c r="A454" t="s">
        <v>650</v>
      </c>
      <c r="B454" s="2">
        <v>45958</v>
      </c>
      <c r="C454" t="s">
        <v>373</v>
      </c>
      <c r="D454" t="s">
        <v>50</v>
      </c>
      <c r="E454" t="s">
        <v>24</v>
      </c>
      <c r="F454" t="s">
        <v>25</v>
      </c>
      <c r="G454">
        <v>2</v>
      </c>
      <c r="H454" s="3">
        <v>799</v>
      </c>
      <c r="I454" s="4">
        <v>0</v>
      </c>
      <c r="J454" t="s">
        <v>20</v>
      </c>
      <c r="K454">
        <f t="shared" si="21"/>
        <v>1598</v>
      </c>
      <c r="L454">
        <f>_xlfn.XLOOKUP(D454,product_cost!A:A,product_cost!B:B)</f>
        <v>400</v>
      </c>
      <c r="M454">
        <f t="shared" si="22"/>
        <v>798</v>
      </c>
      <c r="N454" s="10">
        <f t="shared" si="23"/>
        <v>0.49937421777221525</v>
      </c>
    </row>
    <row r="455" spans="1:14" x14ac:dyDescent="0.25">
      <c r="A455" t="s">
        <v>651</v>
      </c>
      <c r="B455" s="2">
        <v>45687</v>
      </c>
      <c r="C455" t="s">
        <v>217</v>
      </c>
      <c r="D455" t="s">
        <v>18</v>
      </c>
      <c r="E455" t="s">
        <v>13</v>
      </c>
      <c r="F455" t="s">
        <v>19</v>
      </c>
      <c r="G455">
        <v>4</v>
      </c>
      <c r="H455" s="3">
        <v>2499</v>
      </c>
      <c r="I455" s="4">
        <v>0</v>
      </c>
      <c r="J455" t="s">
        <v>47</v>
      </c>
      <c r="K455">
        <f t="shared" si="21"/>
        <v>9996</v>
      </c>
      <c r="L455">
        <f>_xlfn.XLOOKUP(D455,product_cost!A:A,product_cost!B:B)</f>
        <v>1600</v>
      </c>
      <c r="M455">
        <f t="shared" si="22"/>
        <v>3596</v>
      </c>
      <c r="N455" s="10">
        <f t="shared" si="23"/>
        <v>0.35974389755902358</v>
      </c>
    </row>
    <row r="456" spans="1:14" x14ac:dyDescent="0.25">
      <c r="A456" t="s">
        <v>652</v>
      </c>
      <c r="B456" s="2">
        <v>45999</v>
      </c>
      <c r="C456" t="s">
        <v>150</v>
      </c>
      <c r="D456" t="s">
        <v>62</v>
      </c>
      <c r="E456" t="s">
        <v>24</v>
      </c>
      <c r="F456" t="s">
        <v>14</v>
      </c>
      <c r="G456">
        <v>1</v>
      </c>
      <c r="H456" s="3">
        <v>1499</v>
      </c>
      <c r="I456" s="4">
        <v>0</v>
      </c>
      <c r="J456" t="s">
        <v>15</v>
      </c>
      <c r="K456">
        <f t="shared" si="21"/>
        <v>1499</v>
      </c>
      <c r="L456">
        <f>_xlfn.XLOOKUP(D456,product_cost!A:A,product_cost!B:B)</f>
        <v>800</v>
      </c>
      <c r="M456">
        <f t="shared" si="22"/>
        <v>699</v>
      </c>
      <c r="N456" s="10">
        <f t="shared" si="23"/>
        <v>0.46631087391594395</v>
      </c>
    </row>
    <row r="457" spans="1:14" x14ac:dyDescent="0.25">
      <c r="A457" t="s">
        <v>653</v>
      </c>
      <c r="B457" s="2">
        <v>45741</v>
      </c>
      <c r="C457" t="s">
        <v>59</v>
      </c>
      <c r="D457" t="s">
        <v>36</v>
      </c>
      <c r="E457" t="s">
        <v>29</v>
      </c>
      <c r="F457" t="s">
        <v>41</v>
      </c>
      <c r="G457">
        <v>2</v>
      </c>
      <c r="H457" s="3">
        <v>399</v>
      </c>
      <c r="I457" s="4">
        <v>0.1</v>
      </c>
      <c r="J457" t="s">
        <v>20</v>
      </c>
      <c r="K457">
        <f t="shared" si="21"/>
        <v>718.2</v>
      </c>
      <c r="L457">
        <f>_xlfn.XLOOKUP(D457,product_cost!A:A,product_cost!B:B)</f>
        <v>180</v>
      </c>
      <c r="M457">
        <f t="shared" si="22"/>
        <v>358.20000000000005</v>
      </c>
      <c r="N457" s="10">
        <f t="shared" si="23"/>
        <v>0.49874686716791983</v>
      </c>
    </row>
    <row r="458" spans="1:14" x14ac:dyDescent="0.25">
      <c r="A458" t="s">
        <v>654</v>
      </c>
      <c r="B458" s="2">
        <v>45848</v>
      </c>
      <c r="C458" t="s">
        <v>81</v>
      </c>
      <c r="D458" t="s">
        <v>62</v>
      </c>
      <c r="E458" t="s">
        <v>24</v>
      </c>
      <c r="F458" t="s">
        <v>19</v>
      </c>
      <c r="G458">
        <v>3</v>
      </c>
      <c r="H458" s="3">
        <v>1499</v>
      </c>
      <c r="I458" s="4">
        <v>0</v>
      </c>
      <c r="J458" t="s">
        <v>15</v>
      </c>
      <c r="K458">
        <f t="shared" si="21"/>
        <v>4497</v>
      </c>
      <c r="L458">
        <f>_xlfn.XLOOKUP(D458,product_cost!A:A,product_cost!B:B)</f>
        <v>800</v>
      </c>
      <c r="M458">
        <f t="shared" si="22"/>
        <v>2097</v>
      </c>
      <c r="N458" s="10">
        <f t="shared" si="23"/>
        <v>0.46631087391594395</v>
      </c>
    </row>
    <row r="459" spans="1:14" x14ac:dyDescent="0.25">
      <c r="A459" t="s">
        <v>655</v>
      </c>
      <c r="B459" s="2">
        <v>45829</v>
      </c>
      <c r="C459" t="s">
        <v>194</v>
      </c>
      <c r="D459" t="s">
        <v>28</v>
      </c>
      <c r="E459" t="s">
        <v>29</v>
      </c>
      <c r="F459" t="s">
        <v>19</v>
      </c>
      <c r="G459">
        <v>2</v>
      </c>
      <c r="H459" s="3">
        <v>599</v>
      </c>
      <c r="I459" s="4">
        <v>0</v>
      </c>
      <c r="J459" t="s">
        <v>30</v>
      </c>
      <c r="K459">
        <f t="shared" si="21"/>
        <v>1198</v>
      </c>
      <c r="L459">
        <f>_xlfn.XLOOKUP(D459,product_cost!A:A,product_cost!B:B)</f>
        <v>300</v>
      </c>
      <c r="M459">
        <f t="shared" si="22"/>
        <v>598</v>
      </c>
      <c r="N459" s="10">
        <f t="shared" si="23"/>
        <v>0.4991652754590985</v>
      </c>
    </row>
    <row r="460" spans="1:14" x14ac:dyDescent="0.25">
      <c r="A460" t="s">
        <v>656</v>
      </c>
      <c r="B460" s="2">
        <v>45891</v>
      </c>
      <c r="C460" t="s">
        <v>649</v>
      </c>
      <c r="D460" t="s">
        <v>36</v>
      </c>
      <c r="E460" t="s">
        <v>29</v>
      </c>
      <c r="F460" t="s">
        <v>14</v>
      </c>
      <c r="G460">
        <v>1</v>
      </c>
      <c r="H460" s="3">
        <v>399</v>
      </c>
      <c r="I460" s="4">
        <v>0.15</v>
      </c>
      <c r="J460" t="s">
        <v>47</v>
      </c>
      <c r="K460">
        <f t="shared" si="21"/>
        <v>339.15</v>
      </c>
      <c r="L460">
        <f>_xlfn.XLOOKUP(D460,product_cost!A:A,product_cost!B:B)</f>
        <v>180</v>
      </c>
      <c r="M460">
        <f t="shared" si="22"/>
        <v>159.14999999999998</v>
      </c>
      <c r="N460" s="10">
        <f t="shared" si="23"/>
        <v>0.46926138876603268</v>
      </c>
    </row>
    <row r="461" spans="1:14" x14ac:dyDescent="0.25">
      <c r="A461" t="s">
        <v>657</v>
      </c>
      <c r="B461" s="2">
        <v>45738</v>
      </c>
      <c r="C461" t="s">
        <v>484</v>
      </c>
      <c r="D461" t="s">
        <v>18</v>
      </c>
      <c r="E461" t="s">
        <v>13</v>
      </c>
      <c r="F461" t="s">
        <v>19</v>
      </c>
      <c r="G461">
        <v>3</v>
      </c>
      <c r="H461" s="3">
        <v>2499</v>
      </c>
      <c r="I461" s="4">
        <v>0.1</v>
      </c>
      <c r="J461" t="s">
        <v>20</v>
      </c>
      <c r="K461">
        <f t="shared" si="21"/>
        <v>6747.3</v>
      </c>
      <c r="L461">
        <f>_xlfn.XLOOKUP(D461,product_cost!A:A,product_cost!B:B)</f>
        <v>1600</v>
      </c>
      <c r="M461">
        <f t="shared" si="22"/>
        <v>1947.3000000000002</v>
      </c>
      <c r="N461" s="10">
        <f t="shared" si="23"/>
        <v>0.28860433062113738</v>
      </c>
    </row>
    <row r="462" spans="1:14" x14ac:dyDescent="0.25">
      <c r="A462" t="s">
        <v>658</v>
      </c>
      <c r="B462" s="2">
        <v>45918</v>
      </c>
      <c r="C462" t="s">
        <v>106</v>
      </c>
      <c r="D462" t="s">
        <v>12</v>
      </c>
      <c r="E462" t="s">
        <v>13</v>
      </c>
      <c r="F462" t="s">
        <v>19</v>
      </c>
      <c r="G462">
        <v>3</v>
      </c>
      <c r="H462" s="3">
        <v>1999</v>
      </c>
      <c r="I462" s="4">
        <v>0</v>
      </c>
      <c r="J462" t="s">
        <v>30</v>
      </c>
      <c r="K462">
        <f t="shared" si="21"/>
        <v>5997</v>
      </c>
      <c r="L462">
        <f>_xlfn.XLOOKUP(D462,product_cost!A:A,product_cost!B:B)</f>
        <v>1200</v>
      </c>
      <c r="M462">
        <f t="shared" si="22"/>
        <v>2397</v>
      </c>
      <c r="N462" s="10">
        <f t="shared" si="23"/>
        <v>0.39969984992496249</v>
      </c>
    </row>
    <row r="463" spans="1:14" x14ac:dyDescent="0.25">
      <c r="A463" t="s">
        <v>659</v>
      </c>
      <c r="B463" s="2">
        <v>45844</v>
      </c>
      <c r="C463" t="s">
        <v>68</v>
      </c>
      <c r="D463" t="s">
        <v>33</v>
      </c>
      <c r="E463" t="s">
        <v>13</v>
      </c>
      <c r="F463" t="s">
        <v>19</v>
      </c>
      <c r="G463">
        <v>1</v>
      </c>
      <c r="H463" s="3">
        <v>3499</v>
      </c>
      <c r="I463" s="4">
        <v>0.2</v>
      </c>
      <c r="J463" t="s">
        <v>42</v>
      </c>
      <c r="K463">
        <f t="shared" si="21"/>
        <v>2799.2000000000003</v>
      </c>
      <c r="L463">
        <f>_xlfn.XLOOKUP(D463,product_cost!A:A,product_cost!B:B)</f>
        <v>2300</v>
      </c>
      <c r="M463">
        <f t="shared" si="22"/>
        <v>499.20000000000027</v>
      </c>
      <c r="N463" s="10">
        <f t="shared" si="23"/>
        <v>0.17833666761931988</v>
      </c>
    </row>
    <row r="464" spans="1:14" x14ac:dyDescent="0.25">
      <c r="A464" t="s">
        <v>660</v>
      </c>
      <c r="B464" s="2">
        <v>45993</v>
      </c>
      <c r="C464" t="s">
        <v>330</v>
      </c>
      <c r="D464" t="s">
        <v>65</v>
      </c>
      <c r="E464" t="s">
        <v>29</v>
      </c>
      <c r="F464" t="s">
        <v>41</v>
      </c>
      <c r="G464">
        <v>1</v>
      </c>
      <c r="H464" s="3">
        <v>1299</v>
      </c>
      <c r="I464" s="4">
        <v>0.05</v>
      </c>
      <c r="J464" t="s">
        <v>47</v>
      </c>
      <c r="K464">
        <f t="shared" si="21"/>
        <v>1234.05</v>
      </c>
      <c r="L464">
        <f>_xlfn.XLOOKUP(D464,product_cost!A:A,product_cost!B:B)</f>
        <v>750</v>
      </c>
      <c r="M464">
        <f t="shared" si="22"/>
        <v>484.04999999999995</v>
      </c>
      <c r="N464" s="10">
        <f t="shared" si="23"/>
        <v>0.39224504679713135</v>
      </c>
    </row>
    <row r="465" spans="1:14" x14ac:dyDescent="0.25">
      <c r="A465" t="s">
        <v>661</v>
      </c>
      <c r="B465" s="2">
        <v>45697</v>
      </c>
      <c r="C465" t="s">
        <v>93</v>
      </c>
      <c r="D465" t="s">
        <v>36</v>
      </c>
      <c r="E465" t="s">
        <v>29</v>
      </c>
      <c r="F465" t="s">
        <v>19</v>
      </c>
      <c r="G465">
        <v>1</v>
      </c>
      <c r="H465" s="3">
        <v>399</v>
      </c>
      <c r="I465" s="4">
        <v>0.1</v>
      </c>
      <c r="J465" t="s">
        <v>20</v>
      </c>
      <c r="K465">
        <f t="shared" si="21"/>
        <v>359.1</v>
      </c>
      <c r="L465">
        <f>_xlfn.XLOOKUP(D465,product_cost!A:A,product_cost!B:B)</f>
        <v>180</v>
      </c>
      <c r="M465">
        <f t="shared" si="22"/>
        <v>179.10000000000002</v>
      </c>
      <c r="N465" s="10">
        <f t="shared" si="23"/>
        <v>0.49874686716791983</v>
      </c>
    </row>
    <row r="466" spans="1:14" x14ac:dyDescent="0.25">
      <c r="A466" t="s">
        <v>662</v>
      </c>
      <c r="B466" s="2">
        <v>45772</v>
      </c>
      <c r="C466" t="s">
        <v>641</v>
      </c>
      <c r="D466" t="s">
        <v>12</v>
      </c>
      <c r="E466" t="s">
        <v>13</v>
      </c>
      <c r="F466" t="s">
        <v>25</v>
      </c>
      <c r="G466">
        <v>4</v>
      </c>
      <c r="H466" s="3">
        <v>1999</v>
      </c>
      <c r="I466" s="4">
        <v>0</v>
      </c>
      <c r="J466" t="s">
        <v>47</v>
      </c>
      <c r="K466">
        <f t="shared" si="21"/>
        <v>7996</v>
      </c>
      <c r="L466">
        <f>_xlfn.XLOOKUP(D466,product_cost!A:A,product_cost!B:B)</f>
        <v>1200</v>
      </c>
      <c r="M466">
        <f t="shared" si="22"/>
        <v>3196</v>
      </c>
      <c r="N466" s="10">
        <f t="shared" si="23"/>
        <v>0.39969984992496249</v>
      </c>
    </row>
    <row r="467" spans="1:14" x14ac:dyDescent="0.25">
      <c r="A467" t="s">
        <v>663</v>
      </c>
      <c r="B467" s="2">
        <v>45817</v>
      </c>
      <c r="C467" t="s">
        <v>219</v>
      </c>
      <c r="D467" t="s">
        <v>18</v>
      </c>
      <c r="E467" t="s">
        <v>13</v>
      </c>
      <c r="F467" t="s">
        <v>14</v>
      </c>
      <c r="G467">
        <v>2</v>
      </c>
      <c r="H467" s="3">
        <v>2499</v>
      </c>
      <c r="I467" s="4">
        <v>0</v>
      </c>
      <c r="J467" t="s">
        <v>47</v>
      </c>
      <c r="K467">
        <f t="shared" si="21"/>
        <v>4998</v>
      </c>
      <c r="L467">
        <f>_xlfn.XLOOKUP(D467,product_cost!A:A,product_cost!B:B)</f>
        <v>1600</v>
      </c>
      <c r="M467">
        <f t="shared" si="22"/>
        <v>1798</v>
      </c>
      <c r="N467" s="10">
        <f t="shared" si="23"/>
        <v>0.35974389755902358</v>
      </c>
    </row>
    <row r="468" spans="1:14" x14ac:dyDescent="0.25">
      <c r="A468" t="s">
        <v>664</v>
      </c>
      <c r="B468" s="2">
        <v>45946</v>
      </c>
      <c r="C468" t="s">
        <v>164</v>
      </c>
      <c r="D468" t="s">
        <v>62</v>
      </c>
      <c r="E468" t="s">
        <v>24</v>
      </c>
      <c r="F468" t="s">
        <v>25</v>
      </c>
      <c r="G468">
        <v>2</v>
      </c>
      <c r="H468" s="3">
        <v>1499</v>
      </c>
      <c r="I468" s="4">
        <v>0.05</v>
      </c>
      <c r="J468" t="s">
        <v>20</v>
      </c>
      <c r="K468">
        <f t="shared" si="21"/>
        <v>2848.1</v>
      </c>
      <c r="L468">
        <f>_xlfn.XLOOKUP(D468,product_cost!A:A,product_cost!B:B)</f>
        <v>800</v>
      </c>
      <c r="M468">
        <f t="shared" si="22"/>
        <v>1248.0999999999999</v>
      </c>
      <c r="N468" s="10">
        <f t="shared" si="23"/>
        <v>0.43822197254309891</v>
      </c>
    </row>
    <row r="469" spans="1:14" x14ac:dyDescent="0.25">
      <c r="A469" t="s">
        <v>665</v>
      </c>
      <c r="B469" s="2">
        <v>45937</v>
      </c>
      <c r="C469" t="s">
        <v>217</v>
      </c>
      <c r="D469" t="s">
        <v>33</v>
      </c>
      <c r="E469" t="s">
        <v>13</v>
      </c>
      <c r="F469" t="s">
        <v>14</v>
      </c>
      <c r="G469">
        <v>1</v>
      </c>
      <c r="H469" s="3">
        <v>3499</v>
      </c>
      <c r="I469" s="4">
        <v>0.05</v>
      </c>
      <c r="J469" t="s">
        <v>42</v>
      </c>
      <c r="K469">
        <f t="shared" si="21"/>
        <v>3324.0499999999997</v>
      </c>
      <c r="L469">
        <f>_xlfn.XLOOKUP(D469,product_cost!A:A,product_cost!B:B)</f>
        <v>2300</v>
      </c>
      <c r="M469">
        <f t="shared" si="22"/>
        <v>1024.0499999999997</v>
      </c>
      <c r="N469" s="10">
        <f t="shared" si="23"/>
        <v>0.30807298325837451</v>
      </c>
    </row>
    <row r="470" spans="1:14" x14ac:dyDescent="0.25">
      <c r="A470" t="s">
        <v>666</v>
      </c>
      <c r="B470" s="2">
        <v>45835</v>
      </c>
      <c r="C470" t="s">
        <v>373</v>
      </c>
      <c r="D470" t="s">
        <v>62</v>
      </c>
      <c r="E470" t="s">
        <v>24</v>
      </c>
      <c r="F470" t="s">
        <v>19</v>
      </c>
      <c r="G470">
        <v>3</v>
      </c>
      <c r="H470" s="3">
        <v>1499</v>
      </c>
      <c r="I470" s="4">
        <v>0.2</v>
      </c>
      <c r="J470" t="s">
        <v>30</v>
      </c>
      <c r="K470">
        <f t="shared" si="21"/>
        <v>3597.6000000000004</v>
      </c>
      <c r="L470">
        <f>_xlfn.XLOOKUP(D470,product_cost!A:A,product_cost!B:B)</f>
        <v>800</v>
      </c>
      <c r="M470">
        <f t="shared" si="22"/>
        <v>1197.6000000000004</v>
      </c>
      <c r="N470" s="10">
        <f t="shared" si="23"/>
        <v>0.33288859239493002</v>
      </c>
    </row>
    <row r="471" spans="1:14" x14ac:dyDescent="0.25">
      <c r="A471" t="s">
        <v>667</v>
      </c>
      <c r="B471" s="2">
        <v>45815</v>
      </c>
      <c r="C471" t="s">
        <v>380</v>
      </c>
      <c r="D471" t="s">
        <v>65</v>
      </c>
      <c r="E471" t="s">
        <v>29</v>
      </c>
      <c r="F471" t="s">
        <v>25</v>
      </c>
      <c r="G471">
        <v>2</v>
      </c>
      <c r="H471" s="3">
        <v>1299</v>
      </c>
      <c r="I471" s="4">
        <v>0</v>
      </c>
      <c r="J471" t="s">
        <v>15</v>
      </c>
      <c r="K471">
        <f t="shared" si="21"/>
        <v>2598</v>
      </c>
      <c r="L471">
        <f>_xlfn.XLOOKUP(D471,product_cost!A:A,product_cost!B:B)</f>
        <v>750</v>
      </c>
      <c r="M471">
        <f t="shared" si="22"/>
        <v>1098</v>
      </c>
      <c r="N471" s="10">
        <f t="shared" si="23"/>
        <v>0.42263279445727481</v>
      </c>
    </row>
    <row r="472" spans="1:14" x14ac:dyDescent="0.25">
      <c r="A472" t="s">
        <v>668</v>
      </c>
      <c r="B472" s="2">
        <v>45730</v>
      </c>
      <c r="C472" t="s">
        <v>32</v>
      </c>
      <c r="D472" t="s">
        <v>18</v>
      </c>
      <c r="E472" t="s">
        <v>13</v>
      </c>
      <c r="F472" t="s">
        <v>25</v>
      </c>
      <c r="G472">
        <v>1</v>
      </c>
      <c r="H472" s="3">
        <v>2499</v>
      </c>
      <c r="I472" s="4">
        <v>0</v>
      </c>
      <c r="J472" t="s">
        <v>47</v>
      </c>
      <c r="K472">
        <f t="shared" si="21"/>
        <v>2499</v>
      </c>
      <c r="L472">
        <f>_xlfn.XLOOKUP(D472,product_cost!A:A,product_cost!B:B)</f>
        <v>1600</v>
      </c>
      <c r="M472">
        <f t="shared" si="22"/>
        <v>899</v>
      </c>
      <c r="N472" s="10">
        <f t="shared" si="23"/>
        <v>0.35974389755902358</v>
      </c>
    </row>
    <row r="473" spans="1:14" x14ac:dyDescent="0.25">
      <c r="A473" t="s">
        <v>669</v>
      </c>
      <c r="B473" s="2">
        <v>45892</v>
      </c>
      <c r="C473" t="s">
        <v>341</v>
      </c>
      <c r="D473" t="s">
        <v>23</v>
      </c>
      <c r="E473" t="s">
        <v>24</v>
      </c>
      <c r="F473" t="s">
        <v>25</v>
      </c>
      <c r="G473">
        <v>1</v>
      </c>
      <c r="H473" s="3">
        <v>3999</v>
      </c>
      <c r="I473" s="4">
        <v>0</v>
      </c>
      <c r="J473" t="s">
        <v>15</v>
      </c>
      <c r="K473">
        <f t="shared" si="21"/>
        <v>3999</v>
      </c>
      <c r="L473">
        <f>_xlfn.XLOOKUP(D473,product_cost!A:A,product_cost!B:B)</f>
        <v>2600</v>
      </c>
      <c r="M473">
        <f t="shared" si="22"/>
        <v>1399</v>
      </c>
      <c r="N473" s="10">
        <f t="shared" si="23"/>
        <v>0.34983745936484123</v>
      </c>
    </row>
    <row r="474" spans="1:14" x14ac:dyDescent="0.25">
      <c r="A474" t="s">
        <v>670</v>
      </c>
      <c r="B474" s="2">
        <v>45961</v>
      </c>
      <c r="C474" t="s">
        <v>115</v>
      </c>
      <c r="D474" t="s">
        <v>12</v>
      </c>
      <c r="E474" t="s">
        <v>13</v>
      </c>
      <c r="F474" t="s">
        <v>14</v>
      </c>
      <c r="G474">
        <v>1</v>
      </c>
      <c r="H474" s="3">
        <v>1999</v>
      </c>
      <c r="I474" s="4">
        <v>0.2</v>
      </c>
      <c r="J474" t="s">
        <v>47</v>
      </c>
      <c r="K474">
        <f t="shared" si="21"/>
        <v>1599.2</v>
      </c>
      <c r="L474">
        <f>_xlfn.XLOOKUP(D474,product_cost!A:A,product_cost!B:B)</f>
        <v>1200</v>
      </c>
      <c r="M474">
        <f t="shared" si="22"/>
        <v>399.20000000000005</v>
      </c>
      <c r="N474" s="10">
        <f t="shared" si="23"/>
        <v>0.24962481240620313</v>
      </c>
    </row>
    <row r="475" spans="1:14" x14ac:dyDescent="0.25">
      <c r="A475" t="s">
        <v>671</v>
      </c>
      <c r="B475" s="2">
        <v>45791</v>
      </c>
      <c r="C475" t="s">
        <v>57</v>
      </c>
      <c r="D475" t="s">
        <v>39</v>
      </c>
      <c r="E475" t="s">
        <v>40</v>
      </c>
      <c r="F475" t="s">
        <v>41</v>
      </c>
      <c r="G475">
        <v>2</v>
      </c>
      <c r="H475" s="3">
        <v>2999</v>
      </c>
      <c r="I475" s="4">
        <v>0.1</v>
      </c>
      <c r="J475" t="s">
        <v>30</v>
      </c>
      <c r="K475">
        <f t="shared" si="21"/>
        <v>5398.2</v>
      </c>
      <c r="L475">
        <f>_xlfn.XLOOKUP(D475,product_cost!A:A,product_cost!B:B)</f>
        <v>1800</v>
      </c>
      <c r="M475">
        <f t="shared" si="22"/>
        <v>1798.1999999999998</v>
      </c>
      <c r="N475" s="10">
        <f t="shared" si="23"/>
        <v>0.33311103701233741</v>
      </c>
    </row>
    <row r="476" spans="1:14" x14ac:dyDescent="0.25">
      <c r="A476" t="s">
        <v>672</v>
      </c>
      <c r="B476" s="2">
        <v>45797</v>
      </c>
      <c r="C476" t="s">
        <v>311</v>
      </c>
      <c r="D476" t="s">
        <v>18</v>
      </c>
      <c r="E476" t="s">
        <v>13</v>
      </c>
      <c r="F476" t="s">
        <v>19</v>
      </c>
      <c r="G476">
        <v>4</v>
      </c>
      <c r="H476" s="3">
        <v>2499</v>
      </c>
      <c r="I476" s="4">
        <v>0</v>
      </c>
      <c r="J476" t="s">
        <v>20</v>
      </c>
      <c r="K476">
        <f t="shared" si="21"/>
        <v>9996</v>
      </c>
      <c r="L476">
        <f>_xlfn.XLOOKUP(D476,product_cost!A:A,product_cost!B:B)</f>
        <v>1600</v>
      </c>
      <c r="M476">
        <f t="shared" si="22"/>
        <v>3596</v>
      </c>
      <c r="N476" s="10">
        <f t="shared" si="23"/>
        <v>0.35974389755902358</v>
      </c>
    </row>
    <row r="477" spans="1:14" x14ac:dyDescent="0.25">
      <c r="A477" t="s">
        <v>673</v>
      </c>
      <c r="B477" s="2">
        <v>45712</v>
      </c>
      <c r="C477" t="s">
        <v>674</v>
      </c>
      <c r="D477" t="s">
        <v>104</v>
      </c>
      <c r="E477" t="s">
        <v>40</v>
      </c>
      <c r="F477" t="s">
        <v>41</v>
      </c>
      <c r="G477">
        <v>2</v>
      </c>
      <c r="H477" s="3">
        <v>999</v>
      </c>
      <c r="I477" s="4">
        <v>0.05</v>
      </c>
      <c r="J477" t="s">
        <v>20</v>
      </c>
      <c r="K477">
        <f t="shared" si="21"/>
        <v>1898.1</v>
      </c>
      <c r="L477">
        <f>_xlfn.XLOOKUP(D477,product_cost!A:A,product_cost!B:B)</f>
        <v>550</v>
      </c>
      <c r="M477">
        <f t="shared" si="22"/>
        <v>798.09999999999991</v>
      </c>
      <c r="N477" s="10">
        <f t="shared" si="23"/>
        <v>0.42047310468363097</v>
      </c>
    </row>
    <row r="478" spans="1:14" x14ac:dyDescent="0.25">
      <c r="A478" t="s">
        <v>675</v>
      </c>
      <c r="B478" s="2">
        <v>45889</v>
      </c>
      <c r="C478" t="s">
        <v>252</v>
      </c>
      <c r="D478" t="s">
        <v>104</v>
      </c>
      <c r="E478" t="s">
        <v>40</v>
      </c>
      <c r="F478" t="s">
        <v>14</v>
      </c>
      <c r="G478">
        <v>1</v>
      </c>
      <c r="H478" s="3">
        <v>999</v>
      </c>
      <c r="I478" s="4">
        <v>0</v>
      </c>
      <c r="J478" t="s">
        <v>47</v>
      </c>
      <c r="K478">
        <f t="shared" si="21"/>
        <v>999</v>
      </c>
      <c r="L478">
        <f>_xlfn.XLOOKUP(D478,product_cost!A:A,product_cost!B:B)</f>
        <v>550</v>
      </c>
      <c r="M478">
        <f t="shared" si="22"/>
        <v>449</v>
      </c>
      <c r="N478" s="10">
        <f t="shared" si="23"/>
        <v>0.44944944944944942</v>
      </c>
    </row>
    <row r="479" spans="1:14" x14ac:dyDescent="0.25">
      <c r="A479" t="s">
        <v>676</v>
      </c>
      <c r="B479" s="2">
        <v>46018</v>
      </c>
      <c r="C479" t="s">
        <v>108</v>
      </c>
      <c r="D479" t="s">
        <v>23</v>
      </c>
      <c r="E479" t="s">
        <v>24</v>
      </c>
      <c r="F479" t="s">
        <v>41</v>
      </c>
      <c r="G479">
        <v>1</v>
      </c>
      <c r="H479" s="3">
        <v>3999</v>
      </c>
      <c r="I479" s="4">
        <v>0.15</v>
      </c>
      <c r="J479" t="s">
        <v>20</v>
      </c>
      <c r="K479">
        <f t="shared" si="21"/>
        <v>3399.15</v>
      </c>
      <c r="L479">
        <f>_xlfn.XLOOKUP(D479,product_cost!A:A,product_cost!B:B)</f>
        <v>2600</v>
      </c>
      <c r="M479">
        <f t="shared" si="22"/>
        <v>799.15000000000009</v>
      </c>
      <c r="N479" s="10">
        <f t="shared" si="23"/>
        <v>0.23510289337040144</v>
      </c>
    </row>
    <row r="480" spans="1:14" x14ac:dyDescent="0.25">
      <c r="A480" t="s">
        <v>677</v>
      </c>
      <c r="B480" s="2">
        <v>45704</v>
      </c>
      <c r="C480" t="s">
        <v>61</v>
      </c>
      <c r="D480" t="s">
        <v>36</v>
      </c>
      <c r="E480" t="s">
        <v>29</v>
      </c>
      <c r="F480" t="s">
        <v>41</v>
      </c>
      <c r="G480">
        <v>1</v>
      </c>
      <c r="H480" s="3">
        <v>399</v>
      </c>
      <c r="I480" s="4">
        <v>0</v>
      </c>
      <c r="J480" t="s">
        <v>47</v>
      </c>
      <c r="K480">
        <f t="shared" si="21"/>
        <v>399</v>
      </c>
      <c r="L480">
        <f>_xlfn.XLOOKUP(D480,product_cost!A:A,product_cost!B:B)</f>
        <v>180</v>
      </c>
      <c r="M480">
        <f t="shared" si="22"/>
        <v>219</v>
      </c>
      <c r="N480" s="10">
        <f t="shared" si="23"/>
        <v>0.54887218045112784</v>
      </c>
    </row>
    <row r="481" spans="1:14" x14ac:dyDescent="0.25">
      <c r="A481" t="s">
        <v>678</v>
      </c>
      <c r="B481" s="2">
        <v>45747</v>
      </c>
      <c r="C481" t="s">
        <v>679</v>
      </c>
      <c r="D481" t="s">
        <v>39</v>
      </c>
      <c r="E481" t="s">
        <v>40</v>
      </c>
      <c r="F481" t="s">
        <v>14</v>
      </c>
      <c r="G481">
        <v>3</v>
      </c>
      <c r="H481" s="3">
        <v>2999</v>
      </c>
      <c r="I481" s="4">
        <v>0.05</v>
      </c>
      <c r="J481" t="s">
        <v>15</v>
      </c>
      <c r="K481">
        <f t="shared" si="21"/>
        <v>8547.15</v>
      </c>
      <c r="L481">
        <f>_xlfn.XLOOKUP(D481,product_cost!A:A,product_cost!B:B)</f>
        <v>1800</v>
      </c>
      <c r="M481">
        <f t="shared" si="22"/>
        <v>3147.1499999999996</v>
      </c>
      <c r="N481" s="10">
        <f t="shared" si="23"/>
        <v>0.36821045611695125</v>
      </c>
    </row>
    <row r="482" spans="1:14" x14ac:dyDescent="0.25">
      <c r="A482" t="s">
        <v>680</v>
      </c>
      <c r="B482" s="2">
        <v>45894</v>
      </c>
      <c r="C482" t="s">
        <v>380</v>
      </c>
      <c r="D482" t="s">
        <v>33</v>
      </c>
      <c r="E482" t="s">
        <v>13</v>
      </c>
      <c r="F482" t="s">
        <v>14</v>
      </c>
      <c r="G482">
        <v>1</v>
      </c>
      <c r="H482" s="3">
        <v>3499</v>
      </c>
      <c r="I482" s="4">
        <v>0</v>
      </c>
      <c r="J482" t="s">
        <v>20</v>
      </c>
      <c r="K482">
        <f t="shared" si="21"/>
        <v>3499</v>
      </c>
      <c r="L482">
        <f>_xlfn.XLOOKUP(D482,product_cost!A:A,product_cost!B:B)</f>
        <v>2300</v>
      </c>
      <c r="M482">
        <f t="shared" si="22"/>
        <v>1199</v>
      </c>
      <c r="N482" s="10">
        <f t="shared" si="23"/>
        <v>0.34266933409545586</v>
      </c>
    </row>
    <row r="483" spans="1:14" x14ac:dyDescent="0.25">
      <c r="A483" t="s">
        <v>681</v>
      </c>
      <c r="B483" s="2">
        <v>45759</v>
      </c>
      <c r="C483" t="s">
        <v>524</v>
      </c>
      <c r="D483" t="s">
        <v>36</v>
      </c>
      <c r="E483" t="s">
        <v>29</v>
      </c>
      <c r="F483" t="s">
        <v>19</v>
      </c>
      <c r="G483">
        <v>2</v>
      </c>
      <c r="H483" s="3">
        <v>399</v>
      </c>
      <c r="I483" s="4">
        <v>0.15</v>
      </c>
      <c r="J483" t="s">
        <v>42</v>
      </c>
      <c r="K483">
        <f t="shared" si="21"/>
        <v>678.3</v>
      </c>
      <c r="L483">
        <f>_xlfn.XLOOKUP(D483,product_cost!A:A,product_cost!B:B)</f>
        <v>180</v>
      </c>
      <c r="M483">
        <f t="shared" si="22"/>
        <v>318.29999999999995</v>
      </c>
      <c r="N483" s="10">
        <f t="shared" si="23"/>
        <v>0.46926138876603268</v>
      </c>
    </row>
    <row r="484" spans="1:14" x14ac:dyDescent="0.25">
      <c r="A484" t="s">
        <v>682</v>
      </c>
      <c r="B484" s="2">
        <v>45958</v>
      </c>
      <c r="C484" t="s">
        <v>154</v>
      </c>
      <c r="D484" t="s">
        <v>18</v>
      </c>
      <c r="E484" t="s">
        <v>13</v>
      </c>
      <c r="F484" t="s">
        <v>25</v>
      </c>
      <c r="G484">
        <v>1</v>
      </c>
      <c r="H484" s="3">
        <v>2499</v>
      </c>
      <c r="I484" s="4">
        <v>0</v>
      </c>
      <c r="J484" t="s">
        <v>20</v>
      </c>
      <c r="K484">
        <f t="shared" si="21"/>
        <v>2499</v>
      </c>
      <c r="L484">
        <f>_xlfn.XLOOKUP(D484,product_cost!A:A,product_cost!B:B)</f>
        <v>1600</v>
      </c>
      <c r="M484">
        <f t="shared" si="22"/>
        <v>899</v>
      </c>
      <c r="N484" s="10">
        <f t="shared" si="23"/>
        <v>0.35974389755902358</v>
      </c>
    </row>
    <row r="485" spans="1:14" x14ac:dyDescent="0.25">
      <c r="A485" t="s">
        <v>683</v>
      </c>
      <c r="B485" s="2">
        <v>45705</v>
      </c>
      <c r="C485" t="s">
        <v>384</v>
      </c>
      <c r="D485" t="s">
        <v>18</v>
      </c>
      <c r="E485" t="s">
        <v>13</v>
      </c>
      <c r="F485" t="s">
        <v>14</v>
      </c>
      <c r="G485">
        <v>1</v>
      </c>
      <c r="H485" s="3">
        <v>2499</v>
      </c>
      <c r="I485" s="4">
        <v>0.05</v>
      </c>
      <c r="J485" t="s">
        <v>42</v>
      </c>
      <c r="K485">
        <f t="shared" si="21"/>
        <v>2374.0499999999997</v>
      </c>
      <c r="L485">
        <f>_xlfn.XLOOKUP(D485,product_cost!A:A,product_cost!B:B)</f>
        <v>1600</v>
      </c>
      <c r="M485">
        <f t="shared" si="22"/>
        <v>774.04999999999973</v>
      </c>
      <c r="N485" s="10">
        <f t="shared" si="23"/>
        <v>0.3260462079568669</v>
      </c>
    </row>
    <row r="486" spans="1:14" x14ac:dyDescent="0.25">
      <c r="A486" t="s">
        <v>684</v>
      </c>
      <c r="B486" s="2">
        <v>45879</v>
      </c>
      <c r="C486" t="s">
        <v>359</v>
      </c>
      <c r="D486" t="s">
        <v>104</v>
      </c>
      <c r="E486" t="s">
        <v>40</v>
      </c>
      <c r="F486" t="s">
        <v>14</v>
      </c>
      <c r="G486">
        <v>1</v>
      </c>
      <c r="H486" s="3">
        <v>999</v>
      </c>
      <c r="I486" s="4">
        <v>0.1</v>
      </c>
      <c r="J486" t="s">
        <v>47</v>
      </c>
      <c r="K486">
        <f t="shared" si="21"/>
        <v>899.1</v>
      </c>
      <c r="L486">
        <f>_xlfn.XLOOKUP(D486,product_cost!A:A,product_cost!B:B)</f>
        <v>550</v>
      </c>
      <c r="M486">
        <f t="shared" si="22"/>
        <v>349.1</v>
      </c>
      <c r="N486" s="10">
        <f t="shared" si="23"/>
        <v>0.38827716605494383</v>
      </c>
    </row>
    <row r="487" spans="1:14" x14ac:dyDescent="0.25">
      <c r="A487" t="s">
        <v>685</v>
      </c>
      <c r="B487" s="2">
        <v>45767</v>
      </c>
      <c r="C487" t="s">
        <v>493</v>
      </c>
      <c r="D487" t="s">
        <v>28</v>
      </c>
      <c r="E487" t="s">
        <v>29</v>
      </c>
      <c r="F487" t="s">
        <v>19</v>
      </c>
      <c r="G487">
        <v>1</v>
      </c>
      <c r="H487" s="3">
        <v>599</v>
      </c>
      <c r="I487" s="4">
        <v>0.15</v>
      </c>
      <c r="J487" t="s">
        <v>42</v>
      </c>
      <c r="K487">
        <f t="shared" si="21"/>
        <v>509.15</v>
      </c>
      <c r="L487">
        <f>_xlfn.XLOOKUP(D487,product_cost!A:A,product_cost!B:B)</f>
        <v>300</v>
      </c>
      <c r="M487">
        <f t="shared" si="22"/>
        <v>209.14999999999998</v>
      </c>
      <c r="N487" s="10">
        <f t="shared" si="23"/>
        <v>0.41078267701070409</v>
      </c>
    </row>
    <row r="488" spans="1:14" x14ac:dyDescent="0.25">
      <c r="A488" t="s">
        <v>686</v>
      </c>
      <c r="B488" s="2">
        <v>45975</v>
      </c>
      <c r="C488" t="s">
        <v>687</v>
      </c>
      <c r="D488" t="s">
        <v>65</v>
      </c>
      <c r="E488" t="s">
        <v>29</v>
      </c>
      <c r="F488" t="s">
        <v>25</v>
      </c>
      <c r="G488">
        <v>2</v>
      </c>
      <c r="H488" s="3">
        <v>1299</v>
      </c>
      <c r="I488" s="4">
        <v>0.05</v>
      </c>
      <c r="J488" t="s">
        <v>15</v>
      </c>
      <c r="K488">
        <f t="shared" si="21"/>
        <v>2468.1</v>
      </c>
      <c r="L488">
        <f>_xlfn.XLOOKUP(D488,product_cost!A:A,product_cost!B:B)</f>
        <v>750</v>
      </c>
      <c r="M488">
        <f t="shared" si="22"/>
        <v>968.09999999999991</v>
      </c>
      <c r="N488" s="10">
        <f t="shared" si="23"/>
        <v>0.39224504679713135</v>
      </c>
    </row>
    <row r="489" spans="1:14" x14ac:dyDescent="0.25">
      <c r="A489" t="s">
        <v>688</v>
      </c>
      <c r="B489" s="2">
        <v>45702</v>
      </c>
      <c r="C489" t="s">
        <v>32</v>
      </c>
      <c r="D489" t="s">
        <v>39</v>
      </c>
      <c r="E489" t="s">
        <v>40</v>
      </c>
      <c r="F489" t="s">
        <v>14</v>
      </c>
      <c r="G489">
        <v>1</v>
      </c>
      <c r="H489" s="3">
        <v>2999</v>
      </c>
      <c r="I489" s="4">
        <v>0</v>
      </c>
      <c r="J489" t="s">
        <v>42</v>
      </c>
      <c r="K489">
        <f t="shared" si="21"/>
        <v>2999</v>
      </c>
      <c r="L489">
        <f>_xlfn.XLOOKUP(D489,product_cost!A:A,product_cost!B:B)</f>
        <v>1800</v>
      </c>
      <c r="M489">
        <f t="shared" si="22"/>
        <v>1199</v>
      </c>
      <c r="N489" s="10">
        <f t="shared" si="23"/>
        <v>0.39979993331110369</v>
      </c>
    </row>
    <row r="490" spans="1:14" x14ac:dyDescent="0.25">
      <c r="A490" t="s">
        <v>689</v>
      </c>
      <c r="B490" s="2">
        <v>45667</v>
      </c>
      <c r="C490" t="s">
        <v>46</v>
      </c>
      <c r="D490" t="s">
        <v>62</v>
      </c>
      <c r="E490" t="s">
        <v>24</v>
      </c>
      <c r="F490" t="s">
        <v>25</v>
      </c>
      <c r="G490">
        <v>1</v>
      </c>
      <c r="H490" s="3">
        <v>1499</v>
      </c>
      <c r="I490" s="4">
        <v>0.05</v>
      </c>
      <c r="J490" t="s">
        <v>47</v>
      </c>
      <c r="K490">
        <f t="shared" si="21"/>
        <v>1424.05</v>
      </c>
      <c r="L490">
        <f>_xlfn.XLOOKUP(D490,product_cost!A:A,product_cost!B:B)</f>
        <v>800</v>
      </c>
      <c r="M490">
        <f t="shared" si="22"/>
        <v>624.04999999999995</v>
      </c>
      <c r="N490" s="10">
        <f t="shared" si="23"/>
        <v>0.43822197254309891</v>
      </c>
    </row>
    <row r="491" spans="1:14" x14ac:dyDescent="0.25">
      <c r="A491" t="s">
        <v>690</v>
      </c>
      <c r="B491" s="2">
        <v>45947</v>
      </c>
      <c r="C491" t="s">
        <v>402</v>
      </c>
      <c r="D491" t="s">
        <v>36</v>
      </c>
      <c r="E491" t="s">
        <v>29</v>
      </c>
      <c r="F491" t="s">
        <v>41</v>
      </c>
      <c r="G491">
        <v>1</v>
      </c>
      <c r="H491" s="3">
        <v>399</v>
      </c>
      <c r="I491" s="4">
        <v>0</v>
      </c>
      <c r="J491" t="s">
        <v>42</v>
      </c>
      <c r="K491">
        <f t="shared" si="21"/>
        <v>399</v>
      </c>
      <c r="L491">
        <f>_xlfn.XLOOKUP(D491,product_cost!A:A,product_cost!B:B)</f>
        <v>180</v>
      </c>
      <c r="M491">
        <f t="shared" si="22"/>
        <v>219</v>
      </c>
      <c r="N491" s="10">
        <f t="shared" si="23"/>
        <v>0.54887218045112784</v>
      </c>
    </row>
    <row r="492" spans="1:14" x14ac:dyDescent="0.25">
      <c r="A492" t="s">
        <v>691</v>
      </c>
      <c r="B492" s="2">
        <v>45770</v>
      </c>
      <c r="C492" t="s">
        <v>679</v>
      </c>
      <c r="D492" t="s">
        <v>28</v>
      </c>
      <c r="E492" t="s">
        <v>29</v>
      </c>
      <c r="F492" t="s">
        <v>41</v>
      </c>
      <c r="G492">
        <v>1</v>
      </c>
      <c r="H492" s="3">
        <v>599</v>
      </c>
      <c r="I492" s="4">
        <v>0.2</v>
      </c>
      <c r="J492" t="s">
        <v>42</v>
      </c>
      <c r="K492">
        <f t="shared" si="21"/>
        <v>479.20000000000005</v>
      </c>
      <c r="L492">
        <f>_xlfn.XLOOKUP(D492,product_cost!A:A,product_cost!B:B)</f>
        <v>300</v>
      </c>
      <c r="M492">
        <f t="shared" si="22"/>
        <v>179.20000000000005</v>
      </c>
      <c r="N492" s="10">
        <f t="shared" si="23"/>
        <v>0.37395659432387318</v>
      </c>
    </row>
    <row r="493" spans="1:14" x14ac:dyDescent="0.25">
      <c r="A493" t="s">
        <v>692</v>
      </c>
      <c r="B493" s="2">
        <v>45777</v>
      </c>
      <c r="C493" t="s">
        <v>146</v>
      </c>
      <c r="D493" t="s">
        <v>18</v>
      </c>
      <c r="E493" t="s">
        <v>13</v>
      </c>
      <c r="F493" t="s">
        <v>19</v>
      </c>
      <c r="G493">
        <v>1</v>
      </c>
      <c r="H493" s="3">
        <v>2499</v>
      </c>
      <c r="I493" s="4">
        <v>0</v>
      </c>
      <c r="J493" t="s">
        <v>20</v>
      </c>
      <c r="K493">
        <f t="shared" si="21"/>
        <v>2499</v>
      </c>
      <c r="L493">
        <f>_xlfn.XLOOKUP(D493,product_cost!A:A,product_cost!B:B)</f>
        <v>1600</v>
      </c>
      <c r="M493">
        <f t="shared" si="22"/>
        <v>899</v>
      </c>
      <c r="N493" s="10">
        <f t="shared" si="23"/>
        <v>0.35974389755902358</v>
      </c>
    </row>
    <row r="494" spans="1:14" x14ac:dyDescent="0.25">
      <c r="A494" t="s">
        <v>693</v>
      </c>
      <c r="B494" s="2">
        <v>45952</v>
      </c>
      <c r="C494" t="s">
        <v>184</v>
      </c>
      <c r="D494" t="s">
        <v>36</v>
      </c>
      <c r="E494" t="s">
        <v>29</v>
      </c>
      <c r="F494" t="s">
        <v>14</v>
      </c>
      <c r="G494">
        <v>4</v>
      </c>
      <c r="H494" s="3">
        <v>399</v>
      </c>
      <c r="I494" s="4">
        <v>0.2</v>
      </c>
      <c r="J494" t="s">
        <v>20</v>
      </c>
      <c r="K494">
        <f t="shared" si="21"/>
        <v>1276.8000000000002</v>
      </c>
      <c r="L494">
        <f>_xlfn.XLOOKUP(D494,product_cost!A:A,product_cost!B:B)</f>
        <v>180</v>
      </c>
      <c r="M494">
        <f t="shared" si="22"/>
        <v>556.80000000000018</v>
      </c>
      <c r="N494" s="10">
        <f t="shared" si="23"/>
        <v>0.43609022556390986</v>
      </c>
    </row>
    <row r="495" spans="1:14" x14ac:dyDescent="0.25">
      <c r="A495" t="s">
        <v>694</v>
      </c>
      <c r="B495" s="2">
        <v>45779</v>
      </c>
      <c r="C495" t="s">
        <v>215</v>
      </c>
      <c r="D495" t="s">
        <v>36</v>
      </c>
      <c r="E495" t="s">
        <v>29</v>
      </c>
      <c r="F495" t="s">
        <v>19</v>
      </c>
      <c r="G495">
        <v>3</v>
      </c>
      <c r="H495" s="3">
        <v>399</v>
      </c>
      <c r="I495" s="4">
        <v>0.1</v>
      </c>
      <c r="J495" t="s">
        <v>47</v>
      </c>
      <c r="K495">
        <f t="shared" si="21"/>
        <v>1077.3</v>
      </c>
      <c r="L495">
        <f>_xlfn.XLOOKUP(D495,product_cost!A:A,product_cost!B:B)</f>
        <v>180</v>
      </c>
      <c r="M495">
        <f t="shared" si="22"/>
        <v>537.29999999999995</v>
      </c>
      <c r="N495" s="10">
        <f t="shared" si="23"/>
        <v>0.49874686716791977</v>
      </c>
    </row>
    <row r="496" spans="1:14" x14ac:dyDescent="0.25">
      <c r="A496" t="s">
        <v>695</v>
      </c>
      <c r="B496" s="2">
        <v>45948</v>
      </c>
      <c r="C496" t="s">
        <v>696</v>
      </c>
      <c r="D496" t="s">
        <v>33</v>
      </c>
      <c r="E496" t="s">
        <v>13</v>
      </c>
      <c r="F496" t="s">
        <v>25</v>
      </c>
      <c r="G496">
        <v>2</v>
      </c>
      <c r="H496" s="3">
        <v>3499</v>
      </c>
      <c r="I496" s="4">
        <v>0</v>
      </c>
      <c r="J496" t="s">
        <v>42</v>
      </c>
      <c r="K496">
        <f t="shared" si="21"/>
        <v>6998</v>
      </c>
      <c r="L496">
        <f>_xlfn.XLOOKUP(D496,product_cost!A:A,product_cost!B:B)</f>
        <v>2300</v>
      </c>
      <c r="M496">
        <f t="shared" si="22"/>
        <v>2398</v>
      </c>
      <c r="N496" s="10">
        <f t="shared" si="23"/>
        <v>0.34266933409545586</v>
      </c>
    </row>
    <row r="497" spans="1:14" x14ac:dyDescent="0.25">
      <c r="A497" t="s">
        <v>697</v>
      </c>
      <c r="B497" s="2">
        <v>45816</v>
      </c>
      <c r="C497" t="s">
        <v>491</v>
      </c>
      <c r="D497" t="s">
        <v>104</v>
      </c>
      <c r="E497" t="s">
        <v>40</v>
      </c>
      <c r="F497" t="s">
        <v>14</v>
      </c>
      <c r="G497">
        <v>1</v>
      </c>
      <c r="H497" s="3">
        <v>999</v>
      </c>
      <c r="I497" s="4">
        <v>0</v>
      </c>
      <c r="J497" t="s">
        <v>15</v>
      </c>
      <c r="K497">
        <f t="shared" si="21"/>
        <v>999</v>
      </c>
      <c r="L497">
        <f>_xlfn.XLOOKUP(D497,product_cost!A:A,product_cost!B:B)</f>
        <v>550</v>
      </c>
      <c r="M497">
        <f t="shared" si="22"/>
        <v>449</v>
      </c>
      <c r="N497" s="10">
        <f t="shared" si="23"/>
        <v>0.44944944944944942</v>
      </c>
    </row>
    <row r="498" spans="1:14" x14ac:dyDescent="0.25">
      <c r="A498" t="s">
        <v>698</v>
      </c>
      <c r="B498" s="2">
        <v>45927</v>
      </c>
      <c r="C498" t="s">
        <v>235</v>
      </c>
      <c r="D498" t="s">
        <v>12</v>
      </c>
      <c r="E498" t="s">
        <v>13</v>
      </c>
      <c r="F498" t="s">
        <v>14</v>
      </c>
      <c r="G498">
        <v>1</v>
      </c>
      <c r="H498" s="3">
        <v>1999</v>
      </c>
      <c r="I498" s="4">
        <v>0.1</v>
      </c>
      <c r="J498" t="s">
        <v>47</v>
      </c>
      <c r="K498">
        <f t="shared" si="21"/>
        <v>1799.1000000000001</v>
      </c>
      <c r="L498">
        <f>_xlfn.XLOOKUP(D498,product_cost!A:A,product_cost!B:B)</f>
        <v>1200</v>
      </c>
      <c r="M498">
        <f t="shared" si="22"/>
        <v>599.10000000000014</v>
      </c>
      <c r="N498" s="10">
        <f t="shared" si="23"/>
        <v>0.33299983324995835</v>
      </c>
    </row>
    <row r="499" spans="1:14" x14ac:dyDescent="0.25">
      <c r="A499" t="s">
        <v>699</v>
      </c>
      <c r="B499" s="2">
        <v>45748</v>
      </c>
      <c r="C499" t="s">
        <v>426</v>
      </c>
      <c r="D499" t="s">
        <v>12</v>
      </c>
      <c r="E499" t="s">
        <v>13</v>
      </c>
      <c r="F499" t="s">
        <v>14</v>
      </c>
      <c r="G499">
        <v>1</v>
      </c>
      <c r="H499" s="3">
        <v>1999</v>
      </c>
      <c r="I499" s="4">
        <v>0.05</v>
      </c>
      <c r="J499" t="s">
        <v>15</v>
      </c>
      <c r="K499">
        <f t="shared" si="21"/>
        <v>1899.05</v>
      </c>
      <c r="L499">
        <f>_xlfn.XLOOKUP(D499,product_cost!A:A,product_cost!B:B)</f>
        <v>1200</v>
      </c>
      <c r="M499">
        <f t="shared" si="22"/>
        <v>699.05</v>
      </c>
      <c r="N499" s="10">
        <f t="shared" si="23"/>
        <v>0.368105105184171</v>
      </c>
    </row>
    <row r="500" spans="1:14" x14ac:dyDescent="0.25">
      <c r="A500" t="s">
        <v>700</v>
      </c>
      <c r="B500" s="2">
        <v>45927</v>
      </c>
      <c r="C500" t="s">
        <v>308</v>
      </c>
      <c r="D500" t="s">
        <v>18</v>
      </c>
      <c r="E500" t="s">
        <v>13</v>
      </c>
      <c r="F500" t="s">
        <v>25</v>
      </c>
      <c r="G500">
        <v>1</v>
      </c>
      <c r="H500" s="3">
        <v>2499</v>
      </c>
      <c r="I500" s="4">
        <v>0.15</v>
      </c>
      <c r="J500" t="s">
        <v>42</v>
      </c>
      <c r="K500">
        <f t="shared" si="21"/>
        <v>2124.15</v>
      </c>
      <c r="L500">
        <f>_xlfn.XLOOKUP(D500,product_cost!A:A,product_cost!B:B)</f>
        <v>1600</v>
      </c>
      <c r="M500">
        <f t="shared" si="22"/>
        <v>524.15000000000009</v>
      </c>
      <c r="N500" s="10">
        <f t="shared" si="23"/>
        <v>0.24675752654002781</v>
      </c>
    </row>
    <row r="501" spans="1:14" x14ac:dyDescent="0.25">
      <c r="A501" t="s">
        <v>701</v>
      </c>
      <c r="B501" s="2">
        <v>45709</v>
      </c>
      <c r="C501" t="s">
        <v>190</v>
      </c>
      <c r="D501" t="s">
        <v>28</v>
      </c>
      <c r="E501" t="s">
        <v>29</v>
      </c>
      <c r="F501" t="s">
        <v>25</v>
      </c>
      <c r="G501">
        <v>1</v>
      </c>
      <c r="H501" s="3">
        <v>599</v>
      </c>
      <c r="I501" s="4">
        <v>0.2</v>
      </c>
      <c r="J501" t="s">
        <v>30</v>
      </c>
      <c r="K501">
        <f t="shared" si="21"/>
        <v>479.20000000000005</v>
      </c>
      <c r="L501">
        <f>_xlfn.XLOOKUP(D501,product_cost!A:A,product_cost!B:B)</f>
        <v>300</v>
      </c>
      <c r="M501">
        <f t="shared" si="22"/>
        <v>179.20000000000005</v>
      </c>
      <c r="N501" s="10">
        <f t="shared" si="23"/>
        <v>0.37395659432387318</v>
      </c>
    </row>
  </sheetData>
  <conditionalFormatting sqref="F2:F501">
    <cfRule type="uniqueValues" dxfId="13" priority="8"/>
  </conditionalFormatting>
  <conditionalFormatting sqref="L59">
    <cfRule type="cellIs" dxfId="12" priority="7" operator="equal">
      <formula>$A$1</formula>
    </cfRule>
  </conditionalFormatting>
  <conditionalFormatting sqref="G1">
    <cfRule type="duplicateValues" dxfId="11" priority="5"/>
  </conditionalFormatting>
  <conditionalFormatting sqref="A11">
    <cfRule type="duplicateValues" dxfId="10" priority="4"/>
  </conditionalFormatting>
  <conditionalFormatting sqref="A12">
    <cfRule type="duplicateValues" dxfId="9" priority="3"/>
  </conditionalFormatting>
  <conditionalFormatting sqref="A2">
    <cfRule type="duplicateValues" dxfId="8" priority="2"/>
  </conditionalFormatting>
  <conditionalFormatting sqref="A1">
    <cfRule type="duplicateValues" dxfId="7"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8FF8F-A6F9-4641-B1CE-9D4B3890DB39}">
  <dimension ref="A1:B14"/>
  <sheetViews>
    <sheetView topLeftCell="J1" workbookViewId="0">
      <selection activeCell="D12" sqref="D12"/>
    </sheetView>
  </sheetViews>
  <sheetFormatPr defaultRowHeight="15" x14ac:dyDescent="0.25"/>
  <cols>
    <col min="1" max="1" width="18.85546875" customWidth="1"/>
    <col min="2" max="2" width="12.28515625" customWidth="1"/>
  </cols>
  <sheetData>
    <row r="1" spans="1:2" x14ac:dyDescent="0.25">
      <c r="A1" s="5" t="s">
        <v>703</v>
      </c>
      <c r="B1" s="7" t="s">
        <v>704</v>
      </c>
    </row>
    <row r="2" spans="1:2" x14ac:dyDescent="0.25">
      <c r="A2" s="8" t="s">
        <v>12</v>
      </c>
      <c r="B2" s="6">
        <v>1200</v>
      </c>
    </row>
    <row r="3" spans="1:2" x14ac:dyDescent="0.25">
      <c r="A3" s="8" t="s">
        <v>18</v>
      </c>
      <c r="B3" s="6">
        <v>1600</v>
      </c>
    </row>
    <row r="4" spans="1:2" x14ac:dyDescent="0.25">
      <c r="A4" s="8" t="s">
        <v>33</v>
      </c>
      <c r="B4" s="6">
        <v>2300</v>
      </c>
    </row>
    <row r="5" spans="1:2" x14ac:dyDescent="0.25">
      <c r="A5" s="8" t="s">
        <v>65</v>
      </c>
      <c r="B5" s="6">
        <v>750</v>
      </c>
    </row>
    <row r="6" spans="1:2" x14ac:dyDescent="0.25">
      <c r="A6" s="8" t="s">
        <v>28</v>
      </c>
      <c r="B6" s="6">
        <v>300</v>
      </c>
    </row>
    <row r="7" spans="1:2" x14ac:dyDescent="0.25">
      <c r="A7" s="8" t="s">
        <v>36</v>
      </c>
      <c r="B7" s="6">
        <v>180</v>
      </c>
    </row>
    <row r="8" spans="1:2" x14ac:dyDescent="0.25">
      <c r="A8" s="8" t="s">
        <v>39</v>
      </c>
      <c r="B8" s="6">
        <v>1800</v>
      </c>
    </row>
    <row r="9" spans="1:2" x14ac:dyDescent="0.25">
      <c r="A9" s="8" t="s">
        <v>104</v>
      </c>
      <c r="B9" s="6">
        <v>550</v>
      </c>
    </row>
    <row r="10" spans="1:2" x14ac:dyDescent="0.25">
      <c r="A10" s="8" t="s">
        <v>53</v>
      </c>
      <c r="B10" s="6">
        <v>1000</v>
      </c>
    </row>
    <row r="11" spans="1:2" x14ac:dyDescent="0.25">
      <c r="A11" s="8" t="s">
        <v>23</v>
      </c>
      <c r="B11" s="6">
        <v>2600</v>
      </c>
    </row>
    <row r="12" spans="1:2" x14ac:dyDescent="0.25">
      <c r="A12" s="8" t="s">
        <v>50</v>
      </c>
      <c r="B12" s="6">
        <v>400</v>
      </c>
    </row>
    <row r="13" spans="1:2" x14ac:dyDescent="0.25">
      <c r="A13" s="8" t="s">
        <v>62</v>
      </c>
      <c r="B13" s="6">
        <v>800</v>
      </c>
    </row>
    <row r="14" spans="1:2" x14ac:dyDescent="0.25">
      <c r="A14" s="8"/>
      <c r="B14"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AF8A-02E2-4446-A76E-E1E5FD00756E}">
  <dimension ref="A3:C16"/>
  <sheetViews>
    <sheetView workbookViewId="0">
      <selection activeCell="B9" sqref="B9"/>
    </sheetView>
  </sheetViews>
  <sheetFormatPr defaultRowHeight="15" x14ac:dyDescent="0.25"/>
  <cols>
    <col min="1" max="1" width="17.7109375" bestFit="1" customWidth="1"/>
    <col min="2" max="2" width="15.140625" bestFit="1" customWidth="1"/>
    <col min="3" max="3" width="12.5703125" bestFit="1" customWidth="1"/>
  </cols>
  <sheetData>
    <row r="3" spans="1:3" x14ac:dyDescent="0.25">
      <c r="A3" s="12" t="s">
        <v>707</v>
      </c>
      <c r="B3" t="s">
        <v>709</v>
      </c>
      <c r="C3" t="s">
        <v>710</v>
      </c>
    </row>
    <row r="4" spans="1:3" x14ac:dyDescent="0.25">
      <c r="A4" s="13" t="s">
        <v>39</v>
      </c>
      <c r="B4" s="9">
        <v>256864.35000000003</v>
      </c>
      <c r="C4" s="9">
        <v>93064.349999999991</v>
      </c>
    </row>
    <row r="5" spans="1:3" x14ac:dyDescent="0.25">
      <c r="A5" s="13" t="s">
        <v>23</v>
      </c>
      <c r="B5" s="9">
        <v>289927.50000000006</v>
      </c>
      <c r="C5" s="9">
        <v>87127.500000000015</v>
      </c>
    </row>
    <row r="6" spans="1:3" x14ac:dyDescent="0.25">
      <c r="A6" s="13" t="s">
        <v>18</v>
      </c>
      <c r="B6" s="9">
        <v>267393</v>
      </c>
      <c r="C6" s="9">
        <v>86592.999999999985</v>
      </c>
    </row>
    <row r="7" spans="1:3" x14ac:dyDescent="0.25">
      <c r="A7" s="13" t="s">
        <v>33</v>
      </c>
      <c r="B7" s="9">
        <v>205916.15000000005</v>
      </c>
      <c r="C7" s="9">
        <v>58716.149999999994</v>
      </c>
    </row>
    <row r="8" spans="1:3" x14ac:dyDescent="0.25">
      <c r="A8" s="13" t="s">
        <v>62</v>
      </c>
      <c r="B8" s="9">
        <v>135434.65</v>
      </c>
      <c r="C8" s="9">
        <v>58634.65</v>
      </c>
    </row>
    <row r="9" spans="1:3" x14ac:dyDescent="0.25">
      <c r="A9" s="13" t="s">
        <v>53</v>
      </c>
      <c r="B9" s="9">
        <v>114056.60000000002</v>
      </c>
      <c r="C9" s="9">
        <v>46056.599999999991</v>
      </c>
    </row>
    <row r="10" spans="1:3" x14ac:dyDescent="0.25">
      <c r="A10" s="13" t="s">
        <v>12</v>
      </c>
      <c r="B10" s="9">
        <v>128435.75000000004</v>
      </c>
      <c r="C10" s="9">
        <v>45635.749999999993</v>
      </c>
    </row>
    <row r="11" spans="1:3" x14ac:dyDescent="0.25">
      <c r="A11" s="13" t="s">
        <v>65</v>
      </c>
      <c r="B11" s="9">
        <v>107232.45000000001</v>
      </c>
      <c r="C11" s="9">
        <v>41982.45</v>
      </c>
    </row>
    <row r="12" spans="1:3" x14ac:dyDescent="0.25">
      <c r="A12" s="13" t="s">
        <v>50</v>
      </c>
      <c r="B12" s="9">
        <v>56169.700000000004</v>
      </c>
      <c r="C12" s="9">
        <v>26169.69999999999</v>
      </c>
    </row>
    <row r="13" spans="1:3" x14ac:dyDescent="0.25">
      <c r="A13" s="13" t="s">
        <v>104</v>
      </c>
      <c r="B13" s="9">
        <v>62837.1</v>
      </c>
      <c r="C13" s="9">
        <v>25987.099999999991</v>
      </c>
    </row>
    <row r="14" spans="1:3" x14ac:dyDescent="0.25">
      <c r="A14" s="13" t="s">
        <v>28</v>
      </c>
      <c r="B14" s="9">
        <v>30489.1</v>
      </c>
      <c r="C14" s="9">
        <v>13989.100000000002</v>
      </c>
    </row>
    <row r="15" spans="1:3" x14ac:dyDescent="0.25">
      <c r="A15" s="13" t="s">
        <v>36</v>
      </c>
      <c r="B15" s="9">
        <v>25615.799999999996</v>
      </c>
      <c r="C15" s="9">
        <v>13195.799999999996</v>
      </c>
    </row>
    <row r="16" spans="1:3" x14ac:dyDescent="0.25">
      <c r="A16" s="13" t="s">
        <v>708</v>
      </c>
      <c r="B16" s="9">
        <v>1680372.1500000001</v>
      </c>
      <c r="C16" s="9">
        <v>597152.14999999991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82EA-CDC3-4618-B421-9983CB0B90DB}">
  <dimension ref="A3:B16"/>
  <sheetViews>
    <sheetView workbookViewId="0">
      <selection activeCell="B4" sqref="B4"/>
    </sheetView>
  </sheetViews>
  <sheetFormatPr defaultRowHeight="15" x14ac:dyDescent="0.25"/>
  <cols>
    <col min="1" max="1" width="17.7109375" bestFit="1" customWidth="1"/>
    <col min="2" max="2" width="23" bestFit="1" customWidth="1"/>
  </cols>
  <sheetData>
    <row r="3" spans="1:2" x14ac:dyDescent="0.25">
      <c r="A3" s="12" t="s">
        <v>707</v>
      </c>
      <c r="B3" s="4" t="s">
        <v>711</v>
      </c>
    </row>
    <row r="4" spans="1:2" x14ac:dyDescent="0.25">
      <c r="A4" s="13" t="s">
        <v>36</v>
      </c>
      <c r="B4" s="4">
        <v>0.51140453340225211</v>
      </c>
    </row>
    <row r="5" spans="1:2" x14ac:dyDescent="0.25">
      <c r="A5" s="13" t="s">
        <v>50</v>
      </c>
      <c r="B5" s="4">
        <v>0.46343686893987757</v>
      </c>
    </row>
    <row r="6" spans="1:2" x14ac:dyDescent="0.25">
      <c r="A6" s="13" t="s">
        <v>28</v>
      </c>
      <c r="B6" s="4">
        <v>0.45250715729894131</v>
      </c>
    </row>
    <row r="7" spans="1:2" x14ac:dyDescent="0.25">
      <c r="A7" s="13" t="s">
        <v>62</v>
      </c>
      <c r="B7" s="4">
        <v>0.42813442035350469</v>
      </c>
    </row>
    <row r="8" spans="1:2" x14ac:dyDescent="0.25">
      <c r="A8" s="13" t="s">
        <v>104</v>
      </c>
      <c r="B8" s="4">
        <v>0.41092171987739456</v>
      </c>
    </row>
    <row r="9" spans="1:2" x14ac:dyDescent="0.25">
      <c r="A9" s="13" t="s">
        <v>53</v>
      </c>
      <c r="B9" s="4">
        <v>0.4023574917102663</v>
      </c>
    </row>
    <row r="10" spans="1:2" x14ac:dyDescent="0.25">
      <c r="A10" s="13" t="s">
        <v>65</v>
      </c>
      <c r="B10" s="4">
        <v>0.39268778767398799</v>
      </c>
    </row>
    <row r="11" spans="1:2" x14ac:dyDescent="0.25">
      <c r="A11" s="13" t="s">
        <v>39</v>
      </c>
      <c r="B11" s="4">
        <v>0.36365579032019935</v>
      </c>
    </row>
    <row r="12" spans="1:2" x14ac:dyDescent="0.25">
      <c r="A12" s="13" t="s">
        <v>12</v>
      </c>
      <c r="B12" s="4">
        <v>0.34949341101333509</v>
      </c>
    </row>
    <row r="13" spans="1:2" x14ac:dyDescent="0.25">
      <c r="A13" s="13" t="s">
        <v>18</v>
      </c>
      <c r="B13" s="4">
        <v>0.31781585507482318</v>
      </c>
    </row>
    <row r="14" spans="1:2" x14ac:dyDescent="0.25">
      <c r="A14" s="13" t="s">
        <v>23</v>
      </c>
      <c r="B14" s="4">
        <v>0.28910870812367861</v>
      </c>
    </row>
    <row r="15" spans="1:2" x14ac:dyDescent="0.25">
      <c r="A15" s="13" t="s">
        <v>33</v>
      </c>
      <c r="B15" s="4">
        <v>0.28451725255271654</v>
      </c>
    </row>
    <row r="16" spans="1:2" x14ac:dyDescent="0.25">
      <c r="A16" s="13" t="s">
        <v>708</v>
      </c>
      <c r="B16" s="4">
        <v>0.38585065539200419</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C4DE-AA0E-4C33-A8DC-4BD09E62F97E}">
  <dimension ref="A3:C8"/>
  <sheetViews>
    <sheetView workbookViewId="0">
      <selection activeCell="E10" sqref="E10"/>
    </sheetView>
  </sheetViews>
  <sheetFormatPr defaultRowHeight="15" x14ac:dyDescent="0.25"/>
  <cols>
    <col min="1" max="1" width="13.140625" bestFit="1" customWidth="1"/>
    <col min="2" max="2" width="15.140625" bestFit="1" customWidth="1"/>
    <col min="3" max="3" width="12.5703125" bestFit="1" customWidth="1"/>
  </cols>
  <sheetData>
    <row r="3" spans="1:3" x14ac:dyDescent="0.25">
      <c r="A3" s="12" t="s">
        <v>707</v>
      </c>
      <c r="B3" t="s">
        <v>709</v>
      </c>
      <c r="C3" t="s">
        <v>710</v>
      </c>
    </row>
    <row r="4" spans="1:3" x14ac:dyDescent="0.25">
      <c r="A4" s="13" t="s">
        <v>19</v>
      </c>
      <c r="B4" s="9">
        <v>480992.34999999963</v>
      </c>
      <c r="C4" s="9">
        <v>168022.35000000006</v>
      </c>
    </row>
    <row r="5" spans="1:3" x14ac:dyDescent="0.25">
      <c r="A5" s="13" t="s">
        <v>14</v>
      </c>
      <c r="B5" s="9">
        <v>416117.84999999969</v>
      </c>
      <c r="C5" s="9">
        <v>146957.85000000003</v>
      </c>
    </row>
    <row r="6" spans="1:3" x14ac:dyDescent="0.25">
      <c r="A6" s="13" t="s">
        <v>25</v>
      </c>
      <c r="B6" s="9">
        <v>398502.89999999979</v>
      </c>
      <c r="C6" s="9">
        <v>145472.90000000011</v>
      </c>
    </row>
    <row r="7" spans="1:3" x14ac:dyDescent="0.25">
      <c r="A7" s="13" t="s">
        <v>41</v>
      </c>
      <c r="B7" s="9">
        <v>384759.05000000005</v>
      </c>
      <c r="C7" s="9">
        <v>136699.05000000002</v>
      </c>
    </row>
    <row r="8" spans="1:3" x14ac:dyDescent="0.25">
      <c r="A8" s="13" t="s">
        <v>708</v>
      </c>
      <c r="B8" s="9">
        <v>1680372.149999999</v>
      </c>
      <c r="C8" s="9">
        <v>597152.15000000026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858B-CEFA-4E0B-92AC-C311E96A63BA}">
  <dimension ref="A3:C9"/>
  <sheetViews>
    <sheetView workbookViewId="0">
      <selection activeCell="B8" sqref="B8"/>
    </sheetView>
  </sheetViews>
  <sheetFormatPr defaultRowHeight="15" x14ac:dyDescent="0.25"/>
  <cols>
    <col min="1" max="1" width="15.85546875" bestFit="1" customWidth="1"/>
    <col min="2" max="2" width="16.5703125" bestFit="1" customWidth="1"/>
    <col min="3" max="3" width="15.140625" bestFit="1" customWidth="1"/>
  </cols>
  <sheetData>
    <row r="3" spans="1:3" x14ac:dyDescent="0.25">
      <c r="A3" s="12" t="s">
        <v>707</v>
      </c>
      <c r="B3" t="s">
        <v>712</v>
      </c>
      <c r="C3" t="s">
        <v>709</v>
      </c>
    </row>
    <row r="4" spans="1:3" x14ac:dyDescent="0.25">
      <c r="A4" s="13" t="s">
        <v>15</v>
      </c>
      <c r="B4" s="9">
        <v>101</v>
      </c>
      <c r="C4" s="9">
        <v>358663.14999999991</v>
      </c>
    </row>
    <row r="5" spans="1:3" x14ac:dyDescent="0.25">
      <c r="A5" s="13" t="s">
        <v>42</v>
      </c>
      <c r="B5" s="9">
        <v>104</v>
      </c>
      <c r="C5" s="9">
        <v>338570.9499999999</v>
      </c>
    </row>
    <row r="6" spans="1:3" x14ac:dyDescent="0.25">
      <c r="A6" s="13" t="s">
        <v>30</v>
      </c>
      <c r="B6" s="9">
        <v>86</v>
      </c>
      <c r="C6" s="9">
        <v>331599.49999999994</v>
      </c>
    </row>
    <row r="7" spans="1:3" x14ac:dyDescent="0.25">
      <c r="A7" s="13" t="s">
        <v>47</v>
      </c>
      <c r="B7" s="9">
        <v>108</v>
      </c>
      <c r="C7" s="9">
        <v>326539.15000000002</v>
      </c>
    </row>
    <row r="8" spans="1:3" x14ac:dyDescent="0.25">
      <c r="A8" s="13" t="s">
        <v>20</v>
      </c>
      <c r="B8" s="9">
        <v>101</v>
      </c>
      <c r="C8" s="9">
        <v>324999.39999999991</v>
      </c>
    </row>
    <row r="9" spans="1:3" x14ac:dyDescent="0.25">
      <c r="A9" s="13" t="s">
        <v>708</v>
      </c>
      <c r="B9" s="9">
        <v>500</v>
      </c>
      <c r="C9" s="9">
        <v>1680372.150000002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76AD-EF58-4DD1-AD6B-845A661DC8AB}">
  <dimension ref="A3:E8"/>
  <sheetViews>
    <sheetView workbookViewId="0">
      <selection activeCell="E4" sqref="E4"/>
    </sheetView>
  </sheetViews>
  <sheetFormatPr defaultRowHeight="15" x14ac:dyDescent="0.25"/>
  <cols>
    <col min="1" max="1" width="15.42578125" bestFit="1" customWidth="1"/>
    <col min="2" max="2" width="15.140625" bestFit="1" customWidth="1"/>
    <col min="3" max="3" width="16.5703125" bestFit="1" customWidth="1"/>
    <col min="4" max="4" width="12.5703125" bestFit="1" customWidth="1"/>
    <col min="5" max="5" width="23" bestFit="1" customWidth="1"/>
    <col min="6" max="6" width="6.42578125" bestFit="1" customWidth="1"/>
    <col min="7" max="7" width="7" bestFit="1" customWidth="1"/>
    <col min="8" max="9" width="8" bestFit="1" customWidth="1"/>
    <col min="10" max="10" width="7" bestFit="1" customWidth="1"/>
    <col min="11" max="11" width="6.42578125" bestFit="1" customWidth="1"/>
    <col min="12" max="13" width="7" bestFit="1" customWidth="1"/>
    <col min="14" max="14" width="6.42578125" bestFit="1" customWidth="1"/>
    <col min="15" max="17" width="7" bestFit="1" customWidth="1"/>
    <col min="18" max="18" width="6.42578125" bestFit="1" customWidth="1"/>
    <col min="19" max="20" width="7" bestFit="1" customWidth="1"/>
    <col min="21" max="22" width="8" bestFit="1" customWidth="1"/>
    <col min="23" max="23" width="7" bestFit="1" customWidth="1"/>
    <col min="24" max="25" width="8" bestFit="1" customWidth="1"/>
    <col min="26" max="26" width="6.42578125" bestFit="1" customWidth="1"/>
    <col min="27" max="27" width="7" bestFit="1" customWidth="1"/>
    <col min="28" max="28" width="6.42578125" bestFit="1" customWidth="1"/>
    <col min="29" max="31" width="7" bestFit="1" customWidth="1"/>
    <col min="32" max="35" width="6.42578125" bestFit="1" customWidth="1"/>
    <col min="36" max="36" width="7" bestFit="1" customWidth="1"/>
    <col min="37" max="37" width="6.42578125" bestFit="1" customWidth="1"/>
    <col min="38" max="39" width="8" bestFit="1" customWidth="1"/>
    <col min="40" max="41" width="7" bestFit="1" customWidth="1"/>
    <col min="42" max="43" width="6.42578125" bestFit="1" customWidth="1"/>
    <col min="44" max="44" width="7" bestFit="1" customWidth="1"/>
    <col min="45" max="45" width="8" bestFit="1" customWidth="1"/>
    <col min="46" max="46" width="7" bestFit="1" customWidth="1"/>
    <col min="47" max="49" width="6.42578125" bestFit="1" customWidth="1"/>
    <col min="50" max="50" width="8" bestFit="1" customWidth="1"/>
    <col min="51" max="53" width="6.42578125" bestFit="1" customWidth="1"/>
    <col min="54" max="54" width="8" bestFit="1" customWidth="1"/>
    <col min="55" max="55" width="6.42578125" bestFit="1" customWidth="1"/>
    <col min="56" max="56" width="7" bestFit="1" customWidth="1"/>
    <col min="57" max="57" width="6.42578125" bestFit="1" customWidth="1"/>
    <col min="58" max="58" width="8" bestFit="1" customWidth="1"/>
    <col min="59" max="60" width="6.42578125" bestFit="1" customWidth="1"/>
    <col min="61" max="61" width="8" bestFit="1" customWidth="1"/>
    <col min="62" max="62" width="7" bestFit="1" customWidth="1"/>
    <col min="63" max="63" width="6.42578125" bestFit="1" customWidth="1"/>
    <col min="64" max="64" width="7" bestFit="1" customWidth="1"/>
    <col min="65" max="65" width="6.42578125" bestFit="1" customWidth="1"/>
    <col min="66" max="66" width="7" bestFit="1" customWidth="1"/>
    <col min="67" max="68" width="6.42578125" bestFit="1" customWidth="1"/>
    <col min="69" max="73" width="7" bestFit="1" customWidth="1"/>
    <col min="74" max="74" width="6.42578125" bestFit="1" customWidth="1"/>
    <col min="75" max="75" width="7" bestFit="1" customWidth="1"/>
    <col min="76" max="77" width="6.42578125" bestFit="1" customWidth="1"/>
    <col min="78" max="78" width="7" bestFit="1" customWidth="1"/>
    <col min="79" max="79" width="6.42578125" bestFit="1" customWidth="1"/>
    <col min="80" max="80" width="7" bestFit="1" customWidth="1"/>
    <col min="81" max="81" width="6.42578125" bestFit="1" customWidth="1"/>
    <col min="82" max="83" width="7" bestFit="1" customWidth="1"/>
    <col min="84" max="86" width="6.42578125" bestFit="1" customWidth="1"/>
    <col min="87" max="89" width="7" bestFit="1" customWidth="1"/>
    <col min="90" max="90" width="6.42578125" bestFit="1" customWidth="1"/>
    <col min="91" max="91" width="7" bestFit="1" customWidth="1"/>
    <col min="92" max="92" width="8" bestFit="1" customWidth="1"/>
    <col min="93" max="94" width="6.42578125" bestFit="1" customWidth="1"/>
    <col min="95" max="95" width="7" bestFit="1" customWidth="1"/>
    <col min="96" max="96" width="6.42578125" bestFit="1" customWidth="1"/>
    <col min="97" max="98" width="7" bestFit="1" customWidth="1"/>
    <col min="99" max="99" width="8" bestFit="1" customWidth="1"/>
    <col min="100" max="100" width="6.42578125" bestFit="1" customWidth="1"/>
    <col min="101" max="101" width="8" bestFit="1" customWidth="1"/>
    <col min="102" max="103" width="7" bestFit="1" customWidth="1"/>
    <col min="104" max="105" width="8" bestFit="1" customWidth="1"/>
    <col min="106" max="106" width="7" bestFit="1" customWidth="1"/>
    <col min="107" max="107" width="8" bestFit="1" customWidth="1"/>
    <col min="108" max="108" width="6.42578125" bestFit="1" customWidth="1"/>
    <col min="109" max="110" width="7" bestFit="1" customWidth="1"/>
    <col min="111" max="112" width="6.42578125" bestFit="1" customWidth="1"/>
    <col min="113" max="113" width="7" bestFit="1" customWidth="1"/>
    <col min="114" max="114" width="6.42578125" bestFit="1" customWidth="1"/>
    <col min="115" max="115" width="7" bestFit="1" customWidth="1"/>
    <col min="116" max="116" width="6.42578125" bestFit="1" customWidth="1"/>
    <col min="117" max="117" width="8" bestFit="1" customWidth="1"/>
    <col min="118" max="118" width="7" bestFit="1" customWidth="1"/>
    <col min="119" max="119" width="6.42578125" bestFit="1" customWidth="1"/>
    <col min="120" max="120" width="8" bestFit="1" customWidth="1"/>
    <col min="121" max="121" width="6.42578125" bestFit="1" customWidth="1"/>
    <col min="122" max="122" width="8" bestFit="1" customWidth="1"/>
    <col min="123" max="124" width="6.42578125" bestFit="1" customWidth="1"/>
    <col min="125" max="125" width="7" bestFit="1" customWidth="1"/>
    <col min="126" max="126" width="6.42578125" bestFit="1" customWidth="1"/>
    <col min="127" max="127" width="7" bestFit="1" customWidth="1"/>
    <col min="128" max="128" width="8" bestFit="1" customWidth="1"/>
    <col min="129" max="129" width="12.5703125" bestFit="1" customWidth="1"/>
    <col min="130" max="131" width="6.42578125" bestFit="1" customWidth="1"/>
    <col min="132" max="132" width="7" bestFit="1" customWidth="1"/>
    <col min="133" max="133" width="6.42578125" bestFit="1" customWidth="1"/>
    <col min="134" max="136" width="7" bestFit="1" customWidth="1"/>
    <col min="137" max="138" width="6.42578125" bestFit="1" customWidth="1"/>
    <col min="139" max="140" width="7" bestFit="1" customWidth="1"/>
    <col min="141" max="141" width="6.42578125" bestFit="1" customWidth="1"/>
    <col min="142" max="144" width="7" bestFit="1" customWidth="1"/>
    <col min="145" max="145" width="6.42578125" bestFit="1" customWidth="1"/>
    <col min="146" max="147" width="7" bestFit="1" customWidth="1"/>
    <col min="148" max="149" width="8" bestFit="1" customWidth="1"/>
    <col min="150" max="150" width="6.42578125" bestFit="1" customWidth="1"/>
    <col min="151" max="151" width="8" bestFit="1" customWidth="1"/>
    <col min="152" max="152" width="7" bestFit="1" customWidth="1"/>
    <col min="153" max="156" width="6.42578125" bestFit="1" customWidth="1"/>
    <col min="157" max="158" width="7" bestFit="1" customWidth="1"/>
    <col min="159" max="162" width="6.42578125" bestFit="1" customWidth="1"/>
    <col min="163" max="163" width="7" bestFit="1" customWidth="1"/>
    <col min="164" max="164" width="6.42578125" bestFit="1" customWidth="1"/>
    <col min="165" max="165" width="8" bestFit="1" customWidth="1"/>
    <col min="166" max="166" width="7" bestFit="1" customWidth="1"/>
    <col min="167" max="167" width="6.42578125" bestFit="1" customWidth="1"/>
    <col min="168" max="168" width="7" bestFit="1" customWidth="1"/>
    <col min="169" max="170" width="6.42578125" bestFit="1" customWidth="1"/>
    <col min="171" max="172" width="7" bestFit="1" customWidth="1"/>
    <col min="173" max="176" width="6.42578125" bestFit="1" customWidth="1"/>
    <col min="177" max="177" width="7" bestFit="1" customWidth="1"/>
    <col min="178" max="180" width="6.42578125" bestFit="1" customWidth="1"/>
    <col min="181" max="181" width="7" bestFit="1" customWidth="1"/>
    <col min="182" max="182" width="6.42578125" bestFit="1" customWidth="1"/>
    <col min="183" max="183" width="7" bestFit="1" customWidth="1"/>
    <col min="184" max="184" width="6.42578125" bestFit="1" customWidth="1"/>
    <col min="185" max="185" width="7" bestFit="1" customWidth="1"/>
    <col min="186" max="187" width="6.42578125" bestFit="1" customWidth="1"/>
    <col min="188" max="189" width="7" bestFit="1" customWidth="1"/>
    <col min="190" max="190" width="6.42578125" bestFit="1" customWidth="1"/>
    <col min="191" max="191" width="7" bestFit="1" customWidth="1"/>
    <col min="192" max="192" width="6.42578125" bestFit="1" customWidth="1"/>
    <col min="193" max="193" width="7" bestFit="1" customWidth="1"/>
    <col min="194" max="197" width="6.42578125" bestFit="1" customWidth="1"/>
    <col min="198" max="200" width="7" bestFit="1" customWidth="1"/>
    <col min="201" max="208" width="6.42578125" bestFit="1" customWidth="1"/>
    <col min="209" max="210" width="7" bestFit="1" customWidth="1"/>
    <col min="211" max="213" width="6.42578125" bestFit="1" customWidth="1"/>
    <col min="214" max="216" width="7" bestFit="1" customWidth="1"/>
    <col min="217" max="217" width="6.42578125" bestFit="1" customWidth="1"/>
    <col min="218" max="219" width="7" bestFit="1" customWidth="1"/>
    <col min="220" max="223" width="6.42578125" bestFit="1" customWidth="1"/>
    <col min="224" max="224" width="7" bestFit="1" customWidth="1"/>
    <col min="225" max="225" width="6.42578125" bestFit="1" customWidth="1"/>
    <col min="226" max="226" width="7" bestFit="1" customWidth="1"/>
    <col min="227" max="227" width="6.42578125" bestFit="1" customWidth="1"/>
    <col min="228" max="228" width="8" bestFit="1" customWidth="1"/>
    <col min="229" max="229" width="7" bestFit="1" customWidth="1"/>
    <col min="230" max="230" width="6.42578125" bestFit="1" customWidth="1"/>
    <col min="231" max="234" width="7" bestFit="1" customWidth="1"/>
    <col min="235" max="235" width="6.42578125" bestFit="1" customWidth="1"/>
    <col min="236" max="236" width="7" bestFit="1" customWidth="1"/>
    <col min="237" max="241" width="6.42578125" bestFit="1" customWidth="1"/>
    <col min="242" max="242" width="7" bestFit="1" customWidth="1"/>
    <col min="243" max="243" width="6.42578125" bestFit="1" customWidth="1"/>
    <col min="244" max="244" width="8" bestFit="1" customWidth="1"/>
    <col min="245" max="246" width="6.42578125" bestFit="1" customWidth="1"/>
    <col min="247" max="247" width="8" bestFit="1" customWidth="1"/>
    <col min="248" max="248" width="6.42578125" bestFit="1" customWidth="1"/>
    <col min="249" max="249" width="7" bestFit="1" customWidth="1"/>
    <col min="250" max="254" width="6.42578125" bestFit="1" customWidth="1"/>
    <col min="255" max="255" width="7" bestFit="1" customWidth="1"/>
    <col min="256" max="256" width="20.140625" bestFit="1" customWidth="1"/>
    <col min="257" max="257" width="17.7109375" bestFit="1" customWidth="1"/>
  </cols>
  <sheetData>
    <row r="3" spans="1:5" x14ac:dyDescent="0.25">
      <c r="A3" s="12" t="s">
        <v>707</v>
      </c>
      <c r="B3" t="s">
        <v>709</v>
      </c>
      <c r="C3" t="s">
        <v>712</v>
      </c>
      <c r="D3" t="s">
        <v>710</v>
      </c>
      <c r="E3" t="s">
        <v>711</v>
      </c>
    </row>
    <row r="4" spans="1:5" x14ac:dyDescent="0.25">
      <c r="A4" s="13" t="s">
        <v>13</v>
      </c>
      <c r="B4" s="9">
        <v>601744.89999999967</v>
      </c>
      <c r="C4" s="9">
        <v>132</v>
      </c>
      <c r="D4" s="9">
        <v>190944.90000000002</v>
      </c>
      <c r="E4" s="4">
        <v>0.31713376997673276</v>
      </c>
    </row>
    <row r="5" spans="1:5" x14ac:dyDescent="0.25">
      <c r="A5" s="13" t="s">
        <v>24</v>
      </c>
      <c r="B5" s="9">
        <v>481531.8499999998</v>
      </c>
      <c r="C5" s="9">
        <v>131</v>
      </c>
      <c r="D5" s="9">
        <v>171931.85000000003</v>
      </c>
      <c r="E5" s="4">
        <v>0.39487963353651961</v>
      </c>
    </row>
    <row r="6" spans="1:5" x14ac:dyDescent="0.25">
      <c r="A6" s="13" t="s">
        <v>40</v>
      </c>
      <c r="B6" s="9">
        <v>433758.04999999976</v>
      </c>
      <c r="C6" s="9">
        <v>129</v>
      </c>
      <c r="D6" s="9">
        <v>165108.05000000005</v>
      </c>
      <c r="E6" s="4">
        <v>0.39007879624785424</v>
      </c>
    </row>
    <row r="7" spans="1:5" x14ac:dyDescent="0.25">
      <c r="A7" s="13" t="s">
        <v>29</v>
      </c>
      <c r="B7" s="9">
        <v>163337.35000000003</v>
      </c>
      <c r="C7" s="9">
        <v>108</v>
      </c>
      <c r="D7" s="9">
        <v>69167.349999999991</v>
      </c>
      <c r="E7" s="4">
        <v>0.45383586435015233</v>
      </c>
    </row>
    <row r="8" spans="1:5" x14ac:dyDescent="0.25">
      <c r="A8" s="13" t="s">
        <v>708</v>
      </c>
      <c r="B8" s="9">
        <v>1680372.150000002</v>
      </c>
      <c r="C8" s="9">
        <v>500</v>
      </c>
      <c r="D8" s="9">
        <v>597152.14999999921</v>
      </c>
      <c r="E8" s="4">
        <v>0.38585065539200381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CD3B-90AD-4C13-B3DC-461EC5CB5376}">
  <dimension ref="A3:C16"/>
  <sheetViews>
    <sheetView workbookViewId="0">
      <selection activeCell="X11" sqref="X11"/>
    </sheetView>
  </sheetViews>
  <sheetFormatPr defaultRowHeight="15" x14ac:dyDescent="0.25"/>
  <cols>
    <col min="1" max="1" width="13.140625" bestFit="1" customWidth="1"/>
    <col min="2" max="2" width="15.140625" bestFit="1" customWidth="1"/>
    <col min="3" max="3" width="12.5703125" bestFit="1" customWidth="1"/>
  </cols>
  <sheetData>
    <row r="3" spans="1:3" x14ac:dyDescent="0.25">
      <c r="A3" s="12" t="s">
        <v>707</v>
      </c>
      <c r="B3" t="s">
        <v>709</v>
      </c>
      <c r="C3" t="s">
        <v>710</v>
      </c>
    </row>
    <row r="4" spans="1:3" x14ac:dyDescent="0.25">
      <c r="A4" s="13" t="s">
        <v>713</v>
      </c>
      <c r="B4" s="9">
        <v>189137.19999999998</v>
      </c>
      <c r="C4" s="9">
        <v>68407.199999999997</v>
      </c>
    </row>
    <row r="5" spans="1:3" x14ac:dyDescent="0.25">
      <c r="A5" s="13" t="s">
        <v>722</v>
      </c>
      <c r="B5" s="9">
        <v>190472.30000000002</v>
      </c>
      <c r="C5" s="9">
        <v>64022.299999999996</v>
      </c>
    </row>
    <row r="6" spans="1:3" x14ac:dyDescent="0.25">
      <c r="A6" s="13" t="s">
        <v>717</v>
      </c>
      <c r="B6" s="9">
        <v>164898.75000000003</v>
      </c>
      <c r="C6" s="9">
        <v>59198.749999999993</v>
      </c>
    </row>
    <row r="7" spans="1:3" x14ac:dyDescent="0.25">
      <c r="A7" s="13" t="s">
        <v>715</v>
      </c>
      <c r="B7" s="9">
        <v>136163.70000000004</v>
      </c>
      <c r="C7" s="9">
        <v>48753.7</v>
      </c>
    </row>
    <row r="8" spans="1:3" x14ac:dyDescent="0.25">
      <c r="A8" s="13" t="s">
        <v>720</v>
      </c>
      <c r="B8" s="9">
        <v>132865.60000000003</v>
      </c>
      <c r="C8" s="9">
        <v>48745.599999999991</v>
      </c>
    </row>
    <row r="9" spans="1:3" x14ac:dyDescent="0.25">
      <c r="A9" s="13" t="s">
        <v>721</v>
      </c>
      <c r="B9" s="9">
        <v>133495.25000000003</v>
      </c>
      <c r="C9" s="9">
        <v>48405.25</v>
      </c>
    </row>
    <row r="10" spans="1:3" x14ac:dyDescent="0.25">
      <c r="A10" s="13" t="s">
        <v>723</v>
      </c>
      <c r="B10" s="9">
        <v>127957.55</v>
      </c>
      <c r="C10" s="9">
        <v>46747.549999999988</v>
      </c>
    </row>
    <row r="11" spans="1:3" x14ac:dyDescent="0.25">
      <c r="A11" s="13" t="s">
        <v>716</v>
      </c>
      <c r="B11" s="9">
        <v>133024.10000000003</v>
      </c>
      <c r="C11" s="9">
        <v>45554.100000000013</v>
      </c>
    </row>
    <row r="12" spans="1:3" x14ac:dyDescent="0.25">
      <c r="A12" s="13" t="s">
        <v>718</v>
      </c>
      <c r="B12" s="9">
        <v>124680.40000000001</v>
      </c>
      <c r="C12" s="9">
        <v>44380.399999999987</v>
      </c>
    </row>
    <row r="13" spans="1:3" x14ac:dyDescent="0.25">
      <c r="A13" s="13" t="s">
        <v>719</v>
      </c>
      <c r="B13" s="9">
        <v>124477.09999999999</v>
      </c>
      <c r="C13" s="9">
        <v>43817.1</v>
      </c>
    </row>
    <row r="14" spans="1:3" x14ac:dyDescent="0.25">
      <c r="A14" s="13" t="s">
        <v>714</v>
      </c>
      <c r="B14" s="9">
        <v>110790.39999999999</v>
      </c>
      <c r="C14" s="9">
        <v>39870.399999999994</v>
      </c>
    </row>
    <row r="15" spans="1:3" x14ac:dyDescent="0.25">
      <c r="A15" s="13" t="s">
        <v>724</v>
      </c>
      <c r="B15" s="9">
        <v>112409.80000000002</v>
      </c>
      <c r="C15" s="9">
        <v>39249.799999999996</v>
      </c>
    </row>
    <row r="16" spans="1:3" x14ac:dyDescent="0.25">
      <c r="A16" s="13" t="s">
        <v>708</v>
      </c>
      <c r="B16" s="9">
        <v>1680372.1500000004</v>
      </c>
      <c r="C16" s="9">
        <v>597152.14999999991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D1A2-678C-4EE7-95AF-2DAE93AD02F8}">
  <dimension ref="A3:C171"/>
  <sheetViews>
    <sheetView tabSelected="1" workbookViewId="0">
      <selection activeCell="F13" sqref="F13"/>
    </sheetView>
  </sheetViews>
  <sheetFormatPr defaultRowHeight="15" x14ac:dyDescent="0.25"/>
  <cols>
    <col min="1" max="1" width="13.140625" bestFit="1" customWidth="1"/>
    <col min="2" max="2" width="15.140625" bestFit="1" customWidth="1"/>
    <col min="3" max="3" width="12.5703125" bestFit="1" customWidth="1"/>
  </cols>
  <sheetData>
    <row r="3" spans="1:3" x14ac:dyDescent="0.25">
      <c r="A3" s="12" t="s">
        <v>707</v>
      </c>
      <c r="B3" t="s">
        <v>709</v>
      </c>
      <c r="C3" t="s">
        <v>710</v>
      </c>
    </row>
    <row r="4" spans="1:3" x14ac:dyDescent="0.25">
      <c r="A4" s="13" t="s">
        <v>250</v>
      </c>
      <c r="B4" s="9">
        <v>32837.949999999997</v>
      </c>
      <c r="C4" s="9">
        <v>9837.9500000000007</v>
      </c>
    </row>
    <row r="5" spans="1:3" x14ac:dyDescent="0.25">
      <c r="A5" s="13" t="s">
        <v>22</v>
      </c>
      <c r="B5" s="9">
        <v>29238.35</v>
      </c>
      <c r="C5" s="9">
        <v>10788.35</v>
      </c>
    </row>
    <row r="6" spans="1:3" x14ac:dyDescent="0.25">
      <c r="A6" s="13" t="s">
        <v>127</v>
      </c>
      <c r="B6" s="9">
        <v>29061.75</v>
      </c>
      <c r="C6" s="9">
        <v>9661.75</v>
      </c>
    </row>
    <row r="7" spans="1:3" x14ac:dyDescent="0.25">
      <c r="A7" s="13" t="s">
        <v>108</v>
      </c>
      <c r="B7" s="9">
        <v>28672.75</v>
      </c>
      <c r="C7" s="9">
        <v>10522.749999999998</v>
      </c>
    </row>
    <row r="8" spans="1:3" x14ac:dyDescent="0.25">
      <c r="A8" s="13" t="s">
        <v>144</v>
      </c>
      <c r="B8" s="9">
        <v>27989.15</v>
      </c>
      <c r="C8" s="9">
        <v>10529.15</v>
      </c>
    </row>
    <row r="9" spans="1:3" x14ac:dyDescent="0.25">
      <c r="A9" s="13" t="s">
        <v>57</v>
      </c>
      <c r="B9" s="9">
        <v>27421.200000000001</v>
      </c>
      <c r="C9" s="9">
        <v>9031.2000000000007</v>
      </c>
    </row>
    <row r="10" spans="1:3" x14ac:dyDescent="0.25">
      <c r="A10" s="13" t="s">
        <v>184</v>
      </c>
      <c r="B10" s="9">
        <v>26989.199999999997</v>
      </c>
      <c r="C10" s="9">
        <v>9469.2000000000007</v>
      </c>
    </row>
    <row r="11" spans="1:3" x14ac:dyDescent="0.25">
      <c r="A11" s="13" t="s">
        <v>219</v>
      </c>
      <c r="B11" s="9">
        <v>24692.5</v>
      </c>
      <c r="C11" s="9">
        <v>7392.5</v>
      </c>
    </row>
    <row r="12" spans="1:3" x14ac:dyDescent="0.25">
      <c r="A12" s="13" t="s">
        <v>326</v>
      </c>
      <c r="B12" s="9">
        <v>24593.300000000003</v>
      </c>
      <c r="C12" s="9">
        <v>7993.3000000000011</v>
      </c>
    </row>
    <row r="13" spans="1:3" x14ac:dyDescent="0.25">
      <c r="A13" s="13" t="s">
        <v>302</v>
      </c>
      <c r="B13" s="9">
        <v>23761.649999999998</v>
      </c>
      <c r="C13" s="9">
        <v>7961.6500000000005</v>
      </c>
    </row>
    <row r="14" spans="1:3" x14ac:dyDescent="0.25">
      <c r="A14" s="13" t="s">
        <v>11</v>
      </c>
      <c r="B14" s="9">
        <v>23270.749999999996</v>
      </c>
      <c r="C14" s="9">
        <v>7090.75</v>
      </c>
    </row>
    <row r="15" spans="1:3" x14ac:dyDescent="0.25">
      <c r="A15" s="13" t="s">
        <v>194</v>
      </c>
      <c r="B15" s="9">
        <v>23100.149999999998</v>
      </c>
      <c r="C15" s="9">
        <v>8200.15</v>
      </c>
    </row>
    <row r="16" spans="1:3" x14ac:dyDescent="0.25">
      <c r="A16" s="13" t="s">
        <v>168</v>
      </c>
      <c r="B16" s="9">
        <v>22789.5</v>
      </c>
      <c r="C16" s="9">
        <v>8689.5</v>
      </c>
    </row>
    <row r="17" spans="1:3" x14ac:dyDescent="0.25">
      <c r="A17" s="13" t="s">
        <v>79</v>
      </c>
      <c r="B17" s="9">
        <v>22563.3</v>
      </c>
      <c r="C17" s="9">
        <v>7813.3</v>
      </c>
    </row>
    <row r="18" spans="1:3" x14ac:dyDescent="0.25">
      <c r="A18" s="13" t="s">
        <v>221</v>
      </c>
      <c r="B18" s="9">
        <v>22415.399999999998</v>
      </c>
      <c r="C18" s="9">
        <v>9015.4000000000015</v>
      </c>
    </row>
    <row r="19" spans="1:3" x14ac:dyDescent="0.25">
      <c r="A19" s="13" t="s">
        <v>125</v>
      </c>
      <c r="B19" s="9">
        <v>22234.350000000002</v>
      </c>
      <c r="C19" s="9">
        <v>8334.3499999999985</v>
      </c>
    </row>
    <row r="20" spans="1:3" x14ac:dyDescent="0.25">
      <c r="A20" s="13" t="s">
        <v>296</v>
      </c>
      <c r="B20" s="9">
        <v>21945</v>
      </c>
      <c r="C20" s="9">
        <v>8144.9999999999991</v>
      </c>
    </row>
    <row r="21" spans="1:3" x14ac:dyDescent="0.25">
      <c r="A21" s="13" t="s">
        <v>81</v>
      </c>
      <c r="B21" s="9">
        <v>21040.45</v>
      </c>
      <c r="C21" s="9">
        <v>7440.4500000000007</v>
      </c>
    </row>
    <row r="22" spans="1:3" x14ac:dyDescent="0.25">
      <c r="A22" s="13" t="s">
        <v>46</v>
      </c>
      <c r="B22" s="9">
        <v>19734.5</v>
      </c>
      <c r="C22" s="9">
        <v>7754.5</v>
      </c>
    </row>
    <row r="23" spans="1:3" x14ac:dyDescent="0.25">
      <c r="A23" s="13" t="s">
        <v>217</v>
      </c>
      <c r="B23" s="9">
        <v>19475.5</v>
      </c>
      <c r="C23" s="9">
        <v>6875.5</v>
      </c>
    </row>
    <row r="24" spans="1:3" x14ac:dyDescent="0.25">
      <c r="A24" s="13" t="s">
        <v>154</v>
      </c>
      <c r="B24" s="9">
        <v>18830.600000000002</v>
      </c>
      <c r="C24" s="9">
        <v>6380.6</v>
      </c>
    </row>
    <row r="25" spans="1:3" x14ac:dyDescent="0.25">
      <c r="A25" s="13" t="s">
        <v>64</v>
      </c>
      <c r="B25" s="9">
        <v>18734.95</v>
      </c>
      <c r="C25" s="9">
        <v>7604.9499999999989</v>
      </c>
    </row>
    <row r="26" spans="1:3" x14ac:dyDescent="0.25">
      <c r="A26" s="13" t="s">
        <v>275</v>
      </c>
      <c r="B26" s="9">
        <v>18600.7</v>
      </c>
      <c r="C26" s="9">
        <v>6720.7</v>
      </c>
    </row>
    <row r="27" spans="1:3" x14ac:dyDescent="0.25">
      <c r="A27" s="13" t="s">
        <v>113</v>
      </c>
      <c r="B27" s="9">
        <v>17620.349999999999</v>
      </c>
      <c r="C27" s="9">
        <v>5220.3500000000004</v>
      </c>
    </row>
    <row r="28" spans="1:3" x14ac:dyDescent="0.25">
      <c r="A28" s="13" t="s">
        <v>343</v>
      </c>
      <c r="B28" s="9">
        <v>16993.199999999997</v>
      </c>
      <c r="C28" s="9">
        <v>5693.1999999999989</v>
      </c>
    </row>
    <row r="29" spans="1:3" x14ac:dyDescent="0.25">
      <c r="A29" s="13" t="s">
        <v>235</v>
      </c>
      <c r="B29" s="9">
        <v>16815.449999999997</v>
      </c>
      <c r="C29" s="9">
        <v>5495.45</v>
      </c>
    </row>
    <row r="30" spans="1:3" x14ac:dyDescent="0.25">
      <c r="A30" s="13" t="s">
        <v>59</v>
      </c>
      <c r="B30" s="9">
        <v>16712.55</v>
      </c>
      <c r="C30" s="9">
        <v>6152.55</v>
      </c>
    </row>
    <row r="31" spans="1:3" x14ac:dyDescent="0.25">
      <c r="A31" s="13" t="s">
        <v>314</v>
      </c>
      <c r="B31" s="9">
        <v>16629.5</v>
      </c>
      <c r="C31" s="9">
        <v>6529.5</v>
      </c>
    </row>
    <row r="32" spans="1:3" x14ac:dyDescent="0.25">
      <c r="A32" s="13" t="s">
        <v>98</v>
      </c>
      <c r="B32" s="9">
        <v>16409.3</v>
      </c>
      <c r="C32" s="9">
        <v>6629.2999999999993</v>
      </c>
    </row>
    <row r="33" spans="1:3" x14ac:dyDescent="0.25">
      <c r="A33" s="13" t="s">
        <v>255</v>
      </c>
      <c r="B33" s="9">
        <v>16179.199999999999</v>
      </c>
      <c r="C33" s="9">
        <v>5579.1999999999989</v>
      </c>
    </row>
    <row r="34" spans="1:3" x14ac:dyDescent="0.25">
      <c r="A34" s="13" t="s">
        <v>83</v>
      </c>
      <c r="B34" s="9">
        <v>16092.6</v>
      </c>
      <c r="C34" s="9">
        <v>5392.6</v>
      </c>
    </row>
    <row r="35" spans="1:3" x14ac:dyDescent="0.25">
      <c r="A35" s="13" t="s">
        <v>192</v>
      </c>
      <c r="B35" s="9">
        <v>15303.15</v>
      </c>
      <c r="C35" s="9">
        <v>5903.15</v>
      </c>
    </row>
    <row r="36" spans="1:3" x14ac:dyDescent="0.25">
      <c r="A36" s="13" t="s">
        <v>641</v>
      </c>
      <c r="B36" s="9">
        <v>15194.2</v>
      </c>
      <c r="C36" s="9">
        <v>5194.2</v>
      </c>
    </row>
    <row r="37" spans="1:3" x14ac:dyDescent="0.25">
      <c r="A37" s="13" t="s">
        <v>93</v>
      </c>
      <c r="B37" s="9">
        <v>14393.499999999998</v>
      </c>
      <c r="C37" s="9">
        <v>4813.5</v>
      </c>
    </row>
    <row r="38" spans="1:3" x14ac:dyDescent="0.25">
      <c r="A38" s="13" t="s">
        <v>44</v>
      </c>
      <c r="B38" s="9">
        <v>14220.7</v>
      </c>
      <c r="C38" s="9">
        <v>5270.7</v>
      </c>
    </row>
    <row r="39" spans="1:3" x14ac:dyDescent="0.25">
      <c r="A39" s="13" t="s">
        <v>308</v>
      </c>
      <c r="B39" s="9">
        <v>13324.25</v>
      </c>
      <c r="C39" s="9">
        <v>4444.25</v>
      </c>
    </row>
    <row r="40" spans="1:3" x14ac:dyDescent="0.25">
      <c r="A40" s="13" t="s">
        <v>330</v>
      </c>
      <c r="B40" s="9">
        <v>13230.499999999998</v>
      </c>
      <c r="C40" s="9">
        <v>3680.4999999999991</v>
      </c>
    </row>
    <row r="41" spans="1:3" x14ac:dyDescent="0.25">
      <c r="A41" s="13" t="s">
        <v>321</v>
      </c>
      <c r="B41" s="9">
        <v>13212.699999999999</v>
      </c>
      <c r="C41" s="9">
        <v>4612.6999999999989</v>
      </c>
    </row>
    <row r="42" spans="1:3" x14ac:dyDescent="0.25">
      <c r="A42" s="13" t="s">
        <v>68</v>
      </c>
      <c r="B42" s="9">
        <v>12895.7</v>
      </c>
      <c r="C42" s="9">
        <v>3595.7000000000003</v>
      </c>
    </row>
    <row r="43" spans="1:3" x14ac:dyDescent="0.25">
      <c r="A43" s="13" t="s">
        <v>395</v>
      </c>
      <c r="B43" s="9">
        <v>12895.2</v>
      </c>
      <c r="C43" s="9">
        <v>4395.1999999999989</v>
      </c>
    </row>
    <row r="44" spans="1:3" x14ac:dyDescent="0.25">
      <c r="A44" s="13" t="s">
        <v>186</v>
      </c>
      <c r="B44" s="9">
        <v>12851.6</v>
      </c>
      <c r="C44" s="9">
        <v>5151.6000000000004</v>
      </c>
    </row>
    <row r="45" spans="1:3" x14ac:dyDescent="0.25">
      <c r="A45" s="13" t="s">
        <v>135</v>
      </c>
      <c r="B45" s="9">
        <v>12414.3</v>
      </c>
      <c r="C45" s="9">
        <v>4714.2999999999993</v>
      </c>
    </row>
    <row r="46" spans="1:3" x14ac:dyDescent="0.25">
      <c r="A46" s="13" t="s">
        <v>199</v>
      </c>
      <c r="B46" s="9">
        <v>12178.349999999999</v>
      </c>
      <c r="C46" s="9">
        <v>4328.3500000000004</v>
      </c>
    </row>
    <row r="47" spans="1:3" x14ac:dyDescent="0.25">
      <c r="A47" s="13" t="s">
        <v>174</v>
      </c>
      <c r="B47" s="9">
        <v>11994.75</v>
      </c>
      <c r="C47" s="9">
        <v>3444.7500000000009</v>
      </c>
    </row>
    <row r="48" spans="1:3" x14ac:dyDescent="0.25">
      <c r="A48" s="13" t="s">
        <v>311</v>
      </c>
      <c r="B48" s="9">
        <v>11922.45</v>
      </c>
      <c r="C48" s="9">
        <v>4432.45</v>
      </c>
    </row>
    <row r="49" spans="1:3" x14ac:dyDescent="0.25">
      <c r="A49" s="13" t="s">
        <v>491</v>
      </c>
      <c r="B49" s="9">
        <v>11705.05</v>
      </c>
      <c r="C49" s="9">
        <v>4755.05</v>
      </c>
    </row>
    <row r="50" spans="1:3" x14ac:dyDescent="0.25">
      <c r="A50" s="13" t="s">
        <v>359</v>
      </c>
      <c r="B50" s="9">
        <v>11589.25</v>
      </c>
      <c r="C50" s="9">
        <v>4439.25</v>
      </c>
    </row>
    <row r="51" spans="1:3" x14ac:dyDescent="0.25">
      <c r="A51" s="13" t="s">
        <v>179</v>
      </c>
      <c r="B51" s="9">
        <v>11504.25</v>
      </c>
      <c r="C51" s="9">
        <v>4404.25</v>
      </c>
    </row>
    <row r="52" spans="1:3" x14ac:dyDescent="0.25">
      <c r="A52" s="13" t="s">
        <v>241</v>
      </c>
      <c r="B52" s="9">
        <v>11430.349999999999</v>
      </c>
      <c r="C52" s="9">
        <v>3680.35</v>
      </c>
    </row>
    <row r="53" spans="1:3" x14ac:dyDescent="0.25">
      <c r="A53" s="13" t="s">
        <v>380</v>
      </c>
      <c r="B53" s="9">
        <v>11416.05</v>
      </c>
      <c r="C53" s="9">
        <v>4416.0499999999993</v>
      </c>
    </row>
    <row r="54" spans="1:3" x14ac:dyDescent="0.25">
      <c r="A54" s="13" t="s">
        <v>115</v>
      </c>
      <c r="B54" s="9">
        <v>11395.400000000001</v>
      </c>
      <c r="C54" s="9">
        <v>3495.4000000000005</v>
      </c>
    </row>
    <row r="55" spans="1:3" x14ac:dyDescent="0.25">
      <c r="A55" s="13" t="s">
        <v>106</v>
      </c>
      <c r="B55" s="9">
        <v>11395.2</v>
      </c>
      <c r="C55" s="9">
        <v>4195.2</v>
      </c>
    </row>
    <row r="56" spans="1:3" x14ac:dyDescent="0.25">
      <c r="A56" s="13" t="s">
        <v>101</v>
      </c>
      <c r="B56" s="9">
        <v>11293.599999999999</v>
      </c>
      <c r="C56" s="9">
        <v>4093.5999999999995</v>
      </c>
    </row>
    <row r="57" spans="1:3" x14ac:dyDescent="0.25">
      <c r="A57" s="13" t="s">
        <v>32</v>
      </c>
      <c r="B57" s="9">
        <v>11196.25</v>
      </c>
      <c r="C57" s="9">
        <v>3696.25</v>
      </c>
    </row>
    <row r="58" spans="1:3" x14ac:dyDescent="0.25">
      <c r="A58" s="13" t="s">
        <v>129</v>
      </c>
      <c r="B58" s="9">
        <v>11154.35</v>
      </c>
      <c r="C58" s="9">
        <v>3954.3500000000004</v>
      </c>
    </row>
    <row r="59" spans="1:3" x14ac:dyDescent="0.25">
      <c r="A59" s="13" t="s">
        <v>89</v>
      </c>
      <c r="B59" s="9">
        <v>11095</v>
      </c>
      <c r="C59" s="9">
        <v>4295</v>
      </c>
    </row>
    <row r="60" spans="1:3" x14ac:dyDescent="0.25">
      <c r="A60" s="13" t="s">
        <v>289</v>
      </c>
      <c r="B60" s="9">
        <v>10912.1</v>
      </c>
      <c r="C60" s="9">
        <v>4312.1000000000004</v>
      </c>
    </row>
    <row r="61" spans="1:3" x14ac:dyDescent="0.25">
      <c r="A61" s="13" t="s">
        <v>237</v>
      </c>
      <c r="B61" s="9">
        <v>10834.150000000001</v>
      </c>
      <c r="C61" s="9">
        <v>2874.1500000000005</v>
      </c>
    </row>
    <row r="62" spans="1:3" x14ac:dyDescent="0.25">
      <c r="A62" s="13" t="s">
        <v>72</v>
      </c>
      <c r="B62" s="9">
        <v>10830.2</v>
      </c>
      <c r="C62" s="9">
        <v>4560.2</v>
      </c>
    </row>
    <row r="63" spans="1:3" x14ac:dyDescent="0.25">
      <c r="A63" s="13" t="s">
        <v>285</v>
      </c>
      <c r="B63" s="9">
        <v>10796.4</v>
      </c>
      <c r="C63" s="9">
        <v>3596.3999999999996</v>
      </c>
    </row>
    <row r="64" spans="1:3" x14ac:dyDescent="0.25">
      <c r="A64" s="13" t="s">
        <v>142</v>
      </c>
      <c r="B64" s="9">
        <v>10694.4</v>
      </c>
      <c r="C64" s="9">
        <v>3294.4</v>
      </c>
    </row>
    <row r="65" spans="1:3" x14ac:dyDescent="0.25">
      <c r="A65" s="13" t="s">
        <v>341</v>
      </c>
      <c r="B65" s="9">
        <v>10646.2</v>
      </c>
      <c r="C65" s="9">
        <v>3446.2</v>
      </c>
    </row>
    <row r="66" spans="1:3" x14ac:dyDescent="0.25">
      <c r="A66" s="13" t="s">
        <v>294</v>
      </c>
      <c r="B66" s="9">
        <v>10596</v>
      </c>
      <c r="C66" s="9">
        <v>3896</v>
      </c>
    </row>
    <row r="67" spans="1:3" x14ac:dyDescent="0.25">
      <c r="A67" s="13" t="s">
        <v>156</v>
      </c>
      <c r="B67" s="9">
        <v>10541.100000000002</v>
      </c>
      <c r="C67" s="9">
        <v>3581.1000000000004</v>
      </c>
    </row>
    <row r="68" spans="1:3" x14ac:dyDescent="0.25">
      <c r="A68" s="13" t="s">
        <v>587</v>
      </c>
      <c r="B68" s="9">
        <v>10511.25</v>
      </c>
      <c r="C68" s="9">
        <v>3311.2499999999995</v>
      </c>
    </row>
    <row r="69" spans="1:3" x14ac:dyDescent="0.25">
      <c r="A69" s="13" t="s">
        <v>271</v>
      </c>
      <c r="B69" s="9">
        <v>10294.200000000001</v>
      </c>
      <c r="C69" s="9">
        <v>3994.2000000000003</v>
      </c>
    </row>
    <row r="70" spans="1:3" x14ac:dyDescent="0.25">
      <c r="A70" s="13" t="s">
        <v>190</v>
      </c>
      <c r="B70" s="9">
        <v>10271.600000000002</v>
      </c>
      <c r="C70" s="9">
        <v>4071.5999999999995</v>
      </c>
    </row>
    <row r="71" spans="1:3" x14ac:dyDescent="0.25">
      <c r="A71" s="13" t="s">
        <v>339</v>
      </c>
      <c r="B71" s="9">
        <v>10195.299999999999</v>
      </c>
      <c r="C71" s="9">
        <v>3695.3</v>
      </c>
    </row>
    <row r="72" spans="1:3" x14ac:dyDescent="0.25">
      <c r="A72" s="13" t="s">
        <v>150</v>
      </c>
      <c r="B72" s="9">
        <v>9964.15</v>
      </c>
      <c r="C72" s="9">
        <v>4214.1499999999996</v>
      </c>
    </row>
    <row r="73" spans="1:3" x14ac:dyDescent="0.25">
      <c r="A73" s="13" t="s">
        <v>361</v>
      </c>
      <c r="B73" s="9">
        <v>9958.6</v>
      </c>
      <c r="C73" s="9">
        <v>3728.6000000000004</v>
      </c>
    </row>
    <row r="74" spans="1:3" x14ac:dyDescent="0.25">
      <c r="A74" s="13" t="s">
        <v>207</v>
      </c>
      <c r="B74" s="9">
        <v>9914.7999999999993</v>
      </c>
      <c r="C74" s="9">
        <v>3114.7999999999997</v>
      </c>
    </row>
    <row r="75" spans="1:3" x14ac:dyDescent="0.25">
      <c r="A75" s="13" t="s">
        <v>209</v>
      </c>
      <c r="B75" s="9">
        <v>9820.35</v>
      </c>
      <c r="C75" s="9">
        <v>3420.35</v>
      </c>
    </row>
    <row r="76" spans="1:3" x14ac:dyDescent="0.25">
      <c r="A76" s="13" t="s">
        <v>61</v>
      </c>
      <c r="B76" s="9">
        <v>9769.4500000000007</v>
      </c>
      <c r="C76" s="9">
        <v>3189.4500000000003</v>
      </c>
    </row>
    <row r="77" spans="1:3" x14ac:dyDescent="0.25">
      <c r="A77" s="13" t="s">
        <v>484</v>
      </c>
      <c r="B77" s="9">
        <v>9745.2999999999993</v>
      </c>
      <c r="C77" s="9">
        <v>3345.3</v>
      </c>
    </row>
    <row r="78" spans="1:3" x14ac:dyDescent="0.25">
      <c r="A78" s="13" t="s">
        <v>70</v>
      </c>
      <c r="B78" s="9">
        <v>9671.75</v>
      </c>
      <c r="C78" s="9">
        <v>1971.7500000000002</v>
      </c>
    </row>
    <row r="79" spans="1:3" x14ac:dyDescent="0.25">
      <c r="A79" s="13" t="s">
        <v>224</v>
      </c>
      <c r="B79" s="9">
        <v>9569.5500000000011</v>
      </c>
      <c r="C79" s="9">
        <v>3469.55</v>
      </c>
    </row>
    <row r="80" spans="1:3" x14ac:dyDescent="0.25">
      <c r="A80" s="13" t="s">
        <v>75</v>
      </c>
      <c r="B80" s="9">
        <v>9515.75</v>
      </c>
      <c r="C80" s="9">
        <v>2915.7499999999995</v>
      </c>
    </row>
    <row r="81" spans="1:3" x14ac:dyDescent="0.25">
      <c r="A81" s="13" t="s">
        <v>140</v>
      </c>
      <c r="B81" s="9">
        <v>9246.35</v>
      </c>
      <c r="C81" s="9">
        <v>2666.35</v>
      </c>
    </row>
    <row r="82" spans="1:3" x14ac:dyDescent="0.25">
      <c r="A82" s="13" t="s">
        <v>679</v>
      </c>
      <c r="B82" s="9">
        <v>9026.35</v>
      </c>
      <c r="C82" s="9">
        <v>3326.3499999999995</v>
      </c>
    </row>
    <row r="83" spans="1:3" x14ac:dyDescent="0.25">
      <c r="A83" s="13" t="s">
        <v>373</v>
      </c>
      <c r="B83" s="9">
        <v>8933.9000000000015</v>
      </c>
      <c r="C83" s="9">
        <v>2833.9000000000005</v>
      </c>
    </row>
    <row r="84" spans="1:3" x14ac:dyDescent="0.25">
      <c r="A84" s="13" t="s">
        <v>426</v>
      </c>
      <c r="B84" s="9">
        <v>8929.6</v>
      </c>
      <c r="C84" s="9">
        <v>3079.6000000000004</v>
      </c>
    </row>
    <row r="85" spans="1:3" x14ac:dyDescent="0.25">
      <c r="A85" s="13" t="s">
        <v>52</v>
      </c>
      <c r="B85" s="9">
        <v>8894</v>
      </c>
      <c r="C85" s="9">
        <v>4094</v>
      </c>
    </row>
    <row r="86" spans="1:3" x14ac:dyDescent="0.25">
      <c r="A86" s="13" t="s">
        <v>164</v>
      </c>
      <c r="B86" s="9">
        <v>8846.1</v>
      </c>
      <c r="C86" s="9">
        <v>3646.1</v>
      </c>
    </row>
    <row r="87" spans="1:3" x14ac:dyDescent="0.25">
      <c r="A87" s="13" t="s">
        <v>91</v>
      </c>
      <c r="B87" s="9">
        <v>8816.4</v>
      </c>
      <c r="C87" s="9">
        <v>3016.4000000000005</v>
      </c>
    </row>
    <row r="88" spans="1:3" x14ac:dyDescent="0.25">
      <c r="A88" s="13" t="s">
        <v>252</v>
      </c>
      <c r="B88" s="9">
        <v>8597.0999999999985</v>
      </c>
      <c r="C88" s="9">
        <v>2847.0999999999995</v>
      </c>
    </row>
    <row r="89" spans="1:3" x14ac:dyDescent="0.25">
      <c r="A89" s="13" t="s">
        <v>166</v>
      </c>
      <c r="B89" s="9">
        <v>8356.1999999999989</v>
      </c>
      <c r="C89" s="9">
        <v>2796.1999999999994</v>
      </c>
    </row>
    <row r="90" spans="1:3" x14ac:dyDescent="0.25">
      <c r="A90" s="13" t="s">
        <v>17</v>
      </c>
      <c r="B90" s="9">
        <v>8056.2999999999993</v>
      </c>
      <c r="C90" s="9">
        <v>2856.2999999999997</v>
      </c>
    </row>
    <row r="91" spans="1:3" x14ac:dyDescent="0.25">
      <c r="A91" s="13" t="s">
        <v>138</v>
      </c>
      <c r="B91" s="9">
        <v>7977.15</v>
      </c>
      <c r="C91" s="9">
        <v>2597.1499999999996</v>
      </c>
    </row>
    <row r="92" spans="1:3" x14ac:dyDescent="0.25">
      <c r="A92" s="13" t="s">
        <v>384</v>
      </c>
      <c r="B92" s="9">
        <v>7881.1999999999989</v>
      </c>
      <c r="C92" s="9">
        <v>2681.1999999999989</v>
      </c>
    </row>
    <row r="93" spans="1:3" x14ac:dyDescent="0.25">
      <c r="A93" s="13" t="s">
        <v>152</v>
      </c>
      <c r="B93" s="9">
        <v>7684.65</v>
      </c>
      <c r="C93" s="9">
        <v>2634.6499999999996</v>
      </c>
    </row>
    <row r="94" spans="1:3" x14ac:dyDescent="0.25">
      <c r="A94" s="13" t="s">
        <v>111</v>
      </c>
      <c r="B94" s="9">
        <v>7597.3</v>
      </c>
      <c r="C94" s="9">
        <v>1997.3000000000002</v>
      </c>
    </row>
    <row r="95" spans="1:3" x14ac:dyDescent="0.25">
      <c r="A95" s="13" t="s">
        <v>87</v>
      </c>
      <c r="B95" s="9">
        <v>7591.15</v>
      </c>
      <c r="C95" s="9">
        <v>2991.1499999999996</v>
      </c>
    </row>
    <row r="96" spans="1:3" x14ac:dyDescent="0.25">
      <c r="A96" s="13" t="s">
        <v>148</v>
      </c>
      <c r="B96" s="9">
        <v>7553.2</v>
      </c>
      <c r="C96" s="9">
        <v>2993.2</v>
      </c>
    </row>
    <row r="97" spans="1:3" x14ac:dyDescent="0.25">
      <c r="A97" s="13" t="s">
        <v>447</v>
      </c>
      <c r="B97" s="9">
        <v>7371.25</v>
      </c>
      <c r="C97" s="9">
        <v>3391.25</v>
      </c>
    </row>
    <row r="98" spans="1:3" x14ac:dyDescent="0.25">
      <c r="A98" s="13" t="s">
        <v>499</v>
      </c>
      <c r="B98" s="9">
        <v>7356.3</v>
      </c>
      <c r="C98" s="9">
        <v>2956.3</v>
      </c>
    </row>
    <row r="99" spans="1:3" x14ac:dyDescent="0.25">
      <c r="A99" s="13" t="s">
        <v>85</v>
      </c>
      <c r="B99" s="9">
        <v>7226.2499999999991</v>
      </c>
      <c r="C99" s="9">
        <v>2626.2499999999995</v>
      </c>
    </row>
    <row r="100" spans="1:3" x14ac:dyDescent="0.25">
      <c r="A100" s="13" t="s">
        <v>117</v>
      </c>
      <c r="B100" s="9">
        <v>7197.3</v>
      </c>
      <c r="C100" s="9">
        <v>1817.3000000000002</v>
      </c>
    </row>
    <row r="101" spans="1:3" x14ac:dyDescent="0.25">
      <c r="A101" s="13" t="s">
        <v>27</v>
      </c>
      <c r="B101" s="9">
        <v>7192</v>
      </c>
      <c r="C101" s="9">
        <v>3492</v>
      </c>
    </row>
    <row r="102" spans="1:3" x14ac:dyDescent="0.25">
      <c r="A102" s="13" t="s">
        <v>170</v>
      </c>
      <c r="B102" s="9">
        <v>7173.4499999999989</v>
      </c>
      <c r="C102" s="9">
        <v>2893.45</v>
      </c>
    </row>
    <row r="103" spans="1:3" x14ac:dyDescent="0.25">
      <c r="A103" s="13" t="s">
        <v>506</v>
      </c>
      <c r="B103" s="9">
        <v>7120.25</v>
      </c>
      <c r="C103" s="9">
        <v>3120.25</v>
      </c>
    </row>
    <row r="104" spans="1:3" x14ac:dyDescent="0.25">
      <c r="A104" s="13" t="s">
        <v>291</v>
      </c>
      <c r="B104" s="9">
        <v>7120.25</v>
      </c>
      <c r="C104" s="9">
        <v>2870.25</v>
      </c>
    </row>
    <row r="105" spans="1:3" x14ac:dyDescent="0.25">
      <c r="A105" s="13" t="s">
        <v>696</v>
      </c>
      <c r="B105" s="9">
        <v>6998</v>
      </c>
      <c r="C105" s="9">
        <v>2398</v>
      </c>
    </row>
    <row r="106" spans="1:3" x14ac:dyDescent="0.25">
      <c r="A106" s="13" t="s">
        <v>350</v>
      </c>
      <c r="B106" s="9">
        <v>6971.5499999999993</v>
      </c>
      <c r="C106" s="9">
        <v>2271.5499999999997</v>
      </c>
    </row>
    <row r="107" spans="1:3" x14ac:dyDescent="0.25">
      <c r="A107" s="13" t="s">
        <v>203</v>
      </c>
      <c r="B107" s="9">
        <v>6945.1</v>
      </c>
      <c r="C107" s="9">
        <v>2945.1</v>
      </c>
    </row>
    <row r="108" spans="1:3" x14ac:dyDescent="0.25">
      <c r="A108" s="13" t="s">
        <v>649</v>
      </c>
      <c r="B108" s="9">
        <v>6834.15</v>
      </c>
      <c r="C108" s="9">
        <v>2904.15</v>
      </c>
    </row>
    <row r="109" spans="1:3" x14ac:dyDescent="0.25">
      <c r="A109" s="13" t="s">
        <v>404</v>
      </c>
      <c r="B109" s="9">
        <v>6747.3</v>
      </c>
      <c r="C109" s="9">
        <v>1947.3000000000002</v>
      </c>
    </row>
    <row r="110" spans="1:3" x14ac:dyDescent="0.25">
      <c r="A110" s="13" t="s">
        <v>215</v>
      </c>
      <c r="B110" s="9">
        <v>6674.3</v>
      </c>
      <c r="C110" s="9">
        <v>2634.3</v>
      </c>
    </row>
    <row r="111" spans="1:3" x14ac:dyDescent="0.25">
      <c r="A111" s="13" t="s">
        <v>606</v>
      </c>
      <c r="B111" s="9">
        <v>6648.0999999999995</v>
      </c>
      <c r="C111" s="9">
        <v>2048.0999999999995</v>
      </c>
    </row>
    <row r="112" spans="1:3" x14ac:dyDescent="0.25">
      <c r="A112" s="13" t="s">
        <v>415</v>
      </c>
      <c r="B112" s="9">
        <v>6611.2999999999993</v>
      </c>
      <c r="C112" s="9">
        <v>2511.3000000000002</v>
      </c>
    </row>
    <row r="113" spans="1:3" x14ac:dyDescent="0.25">
      <c r="A113" s="13" t="s">
        <v>328</v>
      </c>
      <c r="B113" s="9">
        <v>6596</v>
      </c>
      <c r="C113" s="9">
        <v>2696</v>
      </c>
    </row>
    <row r="114" spans="1:3" x14ac:dyDescent="0.25">
      <c r="A114" s="13" t="s">
        <v>243</v>
      </c>
      <c r="B114" s="9">
        <v>6526.45</v>
      </c>
      <c r="C114" s="9">
        <v>2126.4500000000003</v>
      </c>
    </row>
    <row r="115" spans="1:3" x14ac:dyDescent="0.25">
      <c r="A115" s="13" t="s">
        <v>49</v>
      </c>
      <c r="B115" s="9">
        <v>6525.25</v>
      </c>
      <c r="C115" s="9">
        <v>2925.25</v>
      </c>
    </row>
    <row r="116" spans="1:3" x14ac:dyDescent="0.25">
      <c r="A116" s="13" t="s">
        <v>402</v>
      </c>
      <c r="B116" s="9">
        <v>6415.3499999999995</v>
      </c>
      <c r="C116" s="9">
        <v>2455.3499999999995</v>
      </c>
    </row>
    <row r="117" spans="1:3" x14ac:dyDescent="0.25">
      <c r="A117" s="13" t="s">
        <v>182</v>
      </c>
      <c r="B117" s="9">
        <v>6175.15</v>
      </c>
      <c r="C117" s="9">
        <v>2575.1499999999996</v>
      </c>
    </row>
    <row r="118" spans="1:3" x14ac:dyDescent="0.25">
      <c r="A118" s="13" t="s">
        <v>468</v>
      </c>
      <c r="B118" s="9">
        <v>6121.5499999999993</v>
      </c>
      <c r="C118" s="9">
        <v>1921.5499999999997</v>
      </c>
    </row>
    <row r="119" spans="1:3" x14ac:dyDescent="0.25">
      <c r="A119" s="13" t="s">
        <v>197</v>
      </c>
      <c r="B119" s="9">
        <v>6097.4</v>
      </c>
      <c r="C119" s="9">
        <v>1697.3999999999999</v>
      </c>
    </row>
    <row r="120" spans="1:3" x14ac:dyDescent="0.25">
      <c r="A120" s="13" t="s">
        <v>413</v>
      </c>
      <c r="B120" s="9">
        <v>6005.1</v>
      </c>
      <c r="C120" s="9">
        <v>2605.0999999999995</v>
      </c>
    </row>
    <row r="121" spans="1:3" x14ac:dyDescent="0.25">
      <c r="A121" s="13" t="s">
        <v>133</v>
      </c>
      <c r="B121" s="9">
        <v>5716.1</v>
      </c>
      <c r="C121" s="9">
        <v>2516.1</v>
      </c>
    </row>
    <row r="122" spans="1:3" x14ac:dyDescent="0.25">
      <c r="A122" s="13" t="s">
        <v>260</v>
      </c>
      <c r="B122" s="9">
        <v>5676.3</v>
      </c>
      <c r="C122" s="9">
        <v>2116.3000000000002</v>
      </c>
    </row>
    <row r="123" spans="1:3" x14ac:dyDescent="0.25">
      <c r="A123" s="13" t="s">
        <v>493</v>
      </c>
      <c r="B123" s="9">
        <v>5605.7499999999991</v>
      </c>
      <c r="C123" s="9">
        <v>2105.7499999999995</v>
      </c>
    </row>
    <row r="124" spans="1:3" x14ac:dyDescent="0.25">
      <c r="A124" s="13" t="s">
        <v>418</v>
      </c>
      <c r="B124" s="9">
        <v>5546.1</v>
      </c>
      <c r="C124" s="9">
        <v>2046.1</v>
      </c>
    </row>
    <row r="125" spans="1:3" x14ac:dyDescent="0.25">
      <c r="A125" s="13" t="s">
        <v>353</v>
      </c>
      <c r="B125" s="9">
        <v>5467.1</v>
      </c>
      <c r="C125" s="9">
        <v>2167.1</v>
      </c>
    </row>
    <row r="126" spans="1:3" x14ac:dyDescent="0.25">
      <c r="A126" s="13" t="s">
        <v>229</v>
      </c>
      <c r="B126" s="9">
        <v>5456.6</v>
      </c>
      <c r="C126" s="9">
        <v>1656.6</v>
      </c>
    </row>
    <row r="127" spans="1:3" x14ac:dyDescent="0.25">
      <c r="A127" s="13" t="s">
        <v>556</v>
      </c>
      <c r="B127" s="9">
        <v>5434.5</v>
      </c>
      <c r="C127" s="9">
        <v>2074.5000000000005</v>
      </c>
    </row>
    <row r="128" spans="1:3" x14ac:dyDescent="0.25">
      <c r="A128" s="13" t="s">
        <v>470</v>
      </c>
      <c r="B128" s="9">
        <v>5297.25</v>
      </c>
      <c r="C128" s="9">
        <v>1597.25</v>
      </c>
    </row>
    <row r="129" spans="1:3" x14ac:dyDescent="0.25">
      <c r="A129" s="13" t="s">
        <v>265</v>
      </c>
      <c r="B129" s="9">
        <v>5270.2</v>
      </c>
      <c r="C129" s="9">
        <v>2270.1999999999998</v>
      </c>
    </row>
    <row r="130" spans="1:3" x14ac:dyDescent="0.25">
      <c r="A130" s="13" t="s">
        <v>205</v>
      </c>
      <c r="B130" s="9">
        <v>5233.05</v>
      </c>
      <c r="C130" s="9">
        <v>1883.05</v>
      </c>
    </row>
    <row r="131" spans="1:3" x14ac:dyDescent="0.25">
      <c r="A131" s="13" t="s">
        <v>420</v>
      </c>
      <c r="B131" s="9">
        <v>5097.45</v>
      </c>
      <c r="C131" s="9">
        <v>1497.4499999999998</v>
      </c>
    </row>
    <row r="132" spans="1:3" x14ac:dyDescent="0.25">
      <c r="A132" s="13" t="s">
        <v>77</v>
      </c>
      <c r="B132" s="9">
        <v>4872.0999999999995</v>
      </c>
      <c r="C132" s="9">
        <v>1772.0999999999997</v>
      </c>
    </row>
    <row r="133" spans="1:3" x14ac:dyDescent="0.25">
      <c r="A133" s="13" t="s">
        <v>239</v>
      </c>
      <c r="B133" s="9">
        <v>4857.3</v>
      </c>
      <c r="C133" s="9">
        <v>1857.3000000000002</v>
      </c>
    </row>
    <row r="134" spans="1:3" x14ac:dyDescent="0.25">
      <c r="A134" s="13" t="s">
        <v>123</v>
      </c>
      <c r="B134" s="9">
        <v>4555.8</v>
      </c>
      <c r="C134" s="9">
        <v>1655.8000000000002</v>
      </c>
    </row>
    <row r="135" spans="1:3" x14ac:dyDescent="0.25">
      <c r="A135" s="13" t="s">
        <v>213</v>
      </c>
      <c r="B135" s="9">
        <v>4497.2000000000007</v>
      </c>
      <c r="C135" s="9">
        <v>1897.2000000000003</v>
      </c>
    </row>
    <row r="136" spans="1:3" x14ac:dyDescent="0.25">
      <c r="A136" s="13" t="s">
        <v>245</v>
      </c>
      <c r="B136" s="9">
        <v>4497</v>
      </c>
      <c r="C136" s="9">
        <v>1797</v>
      </c>
    </row>
    <row r="137" spans="1:3" x14ac:dyDescent="0.25">
      <c r="A137" s="13" t="s">
        <v>596</v>
      </c>
      <c r="B137" s="9">
        <v>4287.2</v>
      </c>
      <c r="C137" s="9">
        <v>1387.1999999999998</v>
      </c>
    </row>
    <row r="138" spans="1:3" x14ac:dyDescent="0.25">
      <c r="A138" s="13" t="s">
        <v>536</v>
      </c>
      <c r="B138" s="9">
        <v>4156.8</v>
      </c>
      <c r="C138" s="9">
        <v>1156.8000000000002</v>
      </c>
    </row>
    <row r="139" spans="1:3" x14ac:dyDescent="0.25">
      <c r="A139" s="13" t="s">
        <v>282</v>
      </c>
      <c r="B139" s="9">
        <v>4148.1000000000004</v>
      </c>
      <c r="C139" s="9">
        <v>1298.0999999999999</v>
      </c>
    </row>
    <row r="140" spans="1:3" x14ac:dyDescent="0.25">
      <c r="A140" s="13" t="s">
        <v>188</v>
      </c>
      <c r="B140" s="9">
        <v>4097</v>
      </c>
      <c r="C140" s="9">
        <v>1797</v>
      </c>
    </row>
    <row r="141" spans="1:3" x14ac:dyDescent="0.25">
      <c r="A141" s="13" t="s">
        <v>121</v>
      </c>
      <c r="B141" s="9">
        <v>4022.25</v>
      </c>
      <c r="C141" s="9">
        <v>1322.25</v>
      </c>
    </row>
    <row r="142" spans="1:3" x14ac:dyDescent="0.25">
      <c r="A142" s="13" t="s">
        <v>201</v>
      </c>
      <c r="B142" s="9">
        <v>3999</v>
      </c>
      <c r="C142" s="9">
        <v>1399</v>
      </c>
    </row>
    <row r="143" spans="1:3" x14ac:dyDescent="0.25">
      <c r="A143" s="13" t="s">
        <v>268</v>
      </c>
      <c r="B143" s="9">
        <v>3998</v>
      </c>
      <c r="C143" s="9">
        <v>1598</v>
      </c>
    </row>
    <row r="144" spans="1:3" x14ac:dyDescent="0.25">
      <c r="A144" s="13" t="s">
        <v>131</v>
      </c>
      <c r="B144" s="9">
        <v>3827.3999999999996</v>
      </c>
      <c r="C144" s="9">
        <v>1327.3999999999999</v>
      </c>
    </row>
    <row r="145" spans="1:3" x14ac:dyDescent="0.25">
      <c r="A145" s="13" t="s">
        <v>158</v>
      </c>
      <c r="B145" s="9">
        <v>3792.2</v>
      </c>
      <c r="C145" s="9">
        <v>1492.2</v>
      </c>
    </row>
    <row r="146" spans="1:3" x14ac:dyDescent="0.25">
      <c r="A146" s="13" t="s">
        <v>146</v>
      </c>
      <c r="B146" s="9">
        <v>3773.1499999999996</v>
      </c>
      <c r="C146" s="9">
        <v>1373.1499999999999</v>
      </c>
    </row>
    <row r="147" spans="1:3" x14ac:dyDescent="0.25">
      <c r="A147" s="13" t="s">
        <v>35</v>
      </c>
      <c r="B147" s="9">
        <v>3734.45</v>
      </c>
      <c r="C147" s="9">
        <v>1694.4499999999998</v>
      </c>
    </row>
    <row r="148" spans="1:3" x14ac:dyDescent="0.25">
      <c r="A148" s="13" t="s">
        <v>232</v>
      </c>
      <c r="B148" s="9">
        <v>3653.3</v>
      </c>
      <c r="C148" s="9">
        <v>1053.3</v>
      </c>
    </row>
    <row r="149" spans="1:3" x14ac:dyDescent="0.25">
      <c r="A149" s="13" t="s">
        <v>119</v>
      </c>
      <c r="B149" s="9">
        <v>3457.2</v>
      </c>
      <c r="C149" s="9">
        <v>1297.1999999999998</v>
      </c>
    </row>
    <row r="150" spans="1:3" x14ac:dyDescent="0.25">
      <c r="A150" s="13" t="s">
        <v>599</v>
      </c>
      <c r="B150" s="9">
        <v>3399.15</v>
      </c>
      <c r="C150" s="9">
        <v>799.15000000000009</v>
      </c>
    </row>
    <row r="151" spans="1:3" x14ac:dyDescent="0.25">
      <c r="A151" s="13" t="s">
        <v>370</v>
      </c>
      <c r="B151" s="9">
        <v>3038.1</v>
      </c>
      <c r="C151" s="9">
        <v>1138.0999999999999</v>
      </c>
    </row>
    <row r="152" spans="1:3" x14ac:dyDescent="0.25">
      <c r="A152" s="13" t="s">
        <v>38</v>
      </c>
      <c r="B152" s="9">
        <v>2999</v>
      </c>
      <c r="C152" s="9">
        <v>1199</v>
      </c>
    </row>
    <row r="153" spans="1:3" x14ac:dyDescent="0.25">
      <c r="A153" s="13" t="s">
        <v>55</v>
      </c>
      <c r="B153" s="9">
        <v>2937.1000000000004</v>
      </c>
      <c r="C153" s="9">
        <v>1357.1</v>
      </c>
    </row>
    <row r="154" spans="1:3" x14ac:dyDescent="0.25">
      <c r="A154" s="13" t="s">
        <v>589</v>
      </c>
      <c r="B154" s="9">
        <v>2847.15</v>
      </c>
      <c r="C154" s="9">
        <v>1197.1500000000001</v>
      </c>
    </row>
    <row r="155" spans="1:3" x14ac:dyDescent="0.25">
      <c r="A155" s="13" t="s">
        <v>464</v>
      </c>
      <c r="B155" s="9">
        <v>2499</v>
      </c>
      <c r="C155" s="9">
        <v>899</v>
      </c>
    </row>
    <row r="156" spans="1:3" x14ac:dyDescent="0.25">
      <c r="A156" s="13" t="s">
        <v>687</v>
      </c>
      <c r="B156" s="9">
        <v>2468.1</v>
      </c>
      <c r="C156" s="9">
        <v>968.09999999999991</v>
      </c>
    </row>
    <row r="157" spans="1:3" x14ac:dyDescent="0.25">
      <c r="A157" s="13" t="s">
        <v>96</v>
      </c>
      <c r="B157" s="9">
        <v>2427.1999999999998</v>
      </c>
      <c r="C157" s="9">
        <v>1077.1999999999998</v>
      </c>
    </row>
    <row r="158" spans="1:3" x14ac:dyDescent="0.25">
      <c r="A158" s="13" t="s">
        <v>273</v>
      </c>
      <c r="B158" s="9">
        <v>2249.1</v>
      </c>
      <c r="C158" s="9">
        <v>649.09999999999991</v>
      </c>
    </row>
    <row r="159" spans="1:3" x14ac:dyDescent="0.25">
      <c r="A159" s="13" t="s">
        <v>347</v>
      </c>
      <c r="B159" s="9">
        <v>2158.2000000000003</v>
      </c>
      <c r="C159" s="9">
        <v>858.20000000000016</v>
      </c>
    </row>
    <row r="160" spans="1:3" x14ac:dyDescent="0.25">
      <c r="A160" s="13" t="s">
        <v>388</v>
      </c>
      <c r="B160" s="9">
        <v>2037.45</v>
      </c>
      <c r="C160" s="9">
        <v>837.45</v>
      </c>
    </row>
    <row r="161" spans="1:3" x14ac:dyDescent="0.25">
      <c r="A161" s="13" t="s">
        <v>674</v>
      </c>
      <c r="B161" s="9">
        <v>1898.1</v>
      </c>
      <c r="C161" s="9">
        <v>798.09999999999991</v>
      </c>
    </row>
    <row r="162" spans="1:3" x14ac:dyDescent="0.25">
      <c r="A162" s="13" t="s">
        <v>316</v>
      </c>
      <c r="B162" s="9">
        <v>1709.05</v>
      </c>
      <c r="C162" s="9">
        <v>709.05</v>
      </c>
    </row>
    <row r="163" spans="1:3" x14ac:dyDescent="0.25">
      <c r="A163" s="13" t="s">
        <v>524</v>
      </c>
      <c r="B163" s="9">
        <v>1677.3</v>
      </c>
      <c r="C163" s="9">
        <v>767.3</v>
      </c>
    </row>
    <row r="164" spans="1:3" x14ac:dyDescent="0.25">
      <c r="A164" s="13" t="s">
        <v>512</v>
      </c>
      <c r="B164" s="9">
        <v>949.05</v>
      </c>
      <c r="C164" s="9">
        <v>399.04999999999995</v>
      </c>
    </row>
    <row r="165" spans="1:3" x14ac:dyDescent="0.25">
      <c r="A165" s="13" t="s">
        <v>277</v>
      </c>
      <c r="B165" s="9">
        <v>949.05</v>
      </c>
      <c r="C165" s="9">
        <v>399.04999999999995</v>
      </c>
    </row>
    <row r="166" spans="1:3" x14ac:dyDescent="0.25">
      <c r="A166" s="13" t="s">
        <v>103</v>
      </c>
      <c r="B166" s="9">
        <v>949.05</v>
      </c>
      <c r="C166" s="9">
        <v>399.04999999999995</v>
      </c>
    </row>
    <row r="167" spans="1:3" x14ac:dyDescent="0.25">
      <c r="A167" s="13" t="s">
        <v>439</v>
      </c>
      <c r="B167" s="9">
        <v>759.05</v>
      </c>
      <c r="C167" s="9">
        <v>359.04999999999995</v>
      </c>
    </row>
    <row r="168" spans="1:3" x14ac:dyDescent="0.25">
      <c r="A168" s="13" t="s">
        <v>161</v>
      </c>
      <c r="B168" s="9">
        <v>759.05</v>
      </c>
      <c r="C168" s="9">
        <v>359.04999999999995</v>
      </c>
    </row>
    <row r="169" spans="1:3" x14ac:dyDescent="0.25">
      <c r="A169" s="13" t="s">
        <v>569</v>
      </c>
      <c r="B169" s="9">
        <v>758.09999999999991</v>
      </c>
      <c r="C169" s="9">
        <v>398.09999999999991</v>
      </c>
    </row>
    <row r="170" spans="1:3" x14ac:dyDescent="0.25">
      <c r="A170" s="13" t="s">
        <v>516</v>
      </c>
      <c r="B170" s="9">
        <v>539.1</v>
      </c>
      <c r="C170" s="9">
        <v>239.10000000000002</v>
      </c>
    </row>
    <row r="171" spans="1:3" x14ac:dyDescent="0.25">
      <c r="A171" s="13" t="s">
        <v>708</v>
      </c>
      <c r="B171" s="9">
        <v>1680372.15</v>
      </c>
      <c r="C171" s="9">
        <v>597152.15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9"/>
  <sheetViews>
    <sheetView showGridLines="0" zoomScale="70" zoomScaleNormal="70" workbookViewId="0">
      <selection activeCell="R19" sqref="R19"/>
    </sheetView>
  </sheetViews>
  <sheetFormatPr defaultRowHeight="15" x14ac:dyDescent="0.25"/>
  <cols>
    <col min="1" max="1" width="19.5703125" customWidth="1"/>
    <col min="2" max="2" width="21.140625" bestFit="1" customWidth="1"/>
    <col min="3" max="3" width="15.7109375" customWidth="1"/>
    <col min="4" max="4" width="10.7109375" bestFit="1" customWidth="1"/>
    <col min="5" max="5" width="17" customWidth="1"/>
    <col min="6" max="6" width="9.28515625" bestFit="1" customWidth="1"/>
    <col min="7" max="7" width="19.85546875" customWidth="1"/>
    <col min="8" max="8" width="9.28515625" bestFit="1" customWidth="1"/>
  </cols>
  <sheetData>
    <row r="1" spans="1:8" ht="23.25" x14ac:dyDescent="0.35">
      <c r="A1" s="24" t="s">
        <v>735</v>
      </c>
      <c r="B1" s="25"/>
      <c r="C1" s="25"/>
      <c r="D1" s="25"/>
      <c r="E1" s="25"/>
      <c r="F1" s="25"/>
      <c r="G1" s="25"/>
      <c r="H1" s="26"/>
    </row>
    <row r="3" spans="1:8" ht="21" x14ac:dyDescent="0.35">
      <c r="A3" s="18" t="s">
        <v>725</v>
      </c>
      <c r="B3" s="20">
        <f>GETPIVOTDATA("Sum of revenue",pivot5!$A$3)</f>
        <v>1680372.150000002</v>
      </c>
      <c r="C3" s="18" t="s">
        <v>726</v>
      </c>
      <c r="D3" s="22">
        <f>GETPIVOTDATA("Sum of profit",pivot5!$A$3)</f>
        <v>597152.14999999921</v>
      </c>
      <c r="E3" s="18" t="s">
        <v>727</v>
      </c>
      <c r="F3" s="22">
        <f>GETPIVOTDATA("Count of Order ID",pivot5!$A$3)</f>
        <v>500</v>
      </c>
      <c r="G3" s="18" t="s">
        <v>706</v>
      </c>
      <c r="H3" s="23">
        <f>GETPIVOTDATA("Average of profit margin",pivot5!$A$3)</f>
        <v>0.38585065539200381</v>
      </c>
    </row>
    <row r="4" spans="1:8" x14ac:dyDescent="0.25">
      <c r="A4" s="19"/>
      <c r="B4" s="21"/>
      <c r="C4" s="19"/>
      <c r="D4" s="21"/>
      <c r="E4" s="19"/>
      <c r="F4" s="21"/>
      <c r="G4" s="19"/>
      <c r="H4" s="21"/>
    </row>
    <row r="40" spans="13:15" ht="21" x14ac:dyDescent="0.35">
      <c r="M40" s="14"/>
      <c r="N40" s="15"/>
      <c r="O40" s="15"/>
    </row>
    <row r="42" spans="13:15" ht="21" x14ac:dyDescent="0.35">
      <c r="M42" s="14" t="s">
        <v>734</v>
      </c>
      <c r="N42" s="15"/>
      <c r="O42" s="15"/>
    </row>
    <row r="43" spans="13:15" x14ac:dyDescent="0.25">
      <c r="M43" s="16"/>
    </row>
    <row r="44" spans="13:15" x14ac:dyDescent="0.25">
      <c r="M44" s="17" t="s">
        <v>728</v>
      </c>
    </row>
    <row r="45" spans="13:15" x14ac:dyDescent="0.25">
      <c r="M45" s="17" t="s">
        <v>729</v>
      </c>
    </row>
    <row r="46" spans="13:15" x14ac:dyDescent="0.25">
      <c r="M46" s="17" t="s">
        <v>730</v>
      </c>
    </row>
    <row r="47" spans="13:15" x14ac:dyDescent="0.25">
      <c r="M47" s="17" t="s">
        <v>731</v>
      </c>
    </row>
    <row r="48" spans="13:15" x14ac:dyDescent="0.25">
      <c r="M48" s="17" t="s">
        <v>732</v>
      </c>
    </row>
    <row r="49" spans="13:13" x14ac:dyDescent="0.25">
      <c r="M49" s="17" t="s">
        <v>733</v>
      </c>
    </row>
  </sheetData>
  <mergeCells count="1">
    <mergeCell ref="A1:H1"/>
  </mergeCells>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product_cost</vt:lpstr>
      <vt:lpstr>pivot1</vt:lpstr>
      <vt:lpstr>pivot2</vt:lpstr>
      <vt:lpstr>pivot3</vt:lpstr>
      <vt:lpstr>pivot4</vt:lpstr>
      <vt:lpstr>pivot5</vt:lpstr>
      <vt:lpstr>pivot6</vt:lpstr>
      <vt:lpstr>pivot7</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RGUKT</cp:lastModifiedBy>
  <dcterms:created xsi:type="dcterms:W3CDTF">2026-09-08T14:56:03Z</dcterms:created>
  <dcterms:modified xsi:type="dcterms:W3CDTF">2026-09-08T18:20:51Z</dcterms:modified>
</cp:coreProperties>
</file>